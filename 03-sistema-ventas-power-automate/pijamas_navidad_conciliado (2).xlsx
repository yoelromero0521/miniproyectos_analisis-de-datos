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oe\Desktop\PORTAFOLIO\"/>
    </mc:Choice>
  </mc:AlternateContent>
  <xr:revisionPtr revIDLastSave="0" documentId="13_ncr:1_{DB268E78-313A-4BC8-8A43-243DFEB2E8A8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Flujo de trabajo" sheetId="2" r:id="rId1"/>
    <sheet name="Dashboard" sheetId="1" r:id="rId2"/>
    <sheet name="Productos" sheetId="3" r:id="rId3"/>
    <sheet name="Compras" sheetId="4" r:id="rId4"/>
    <sheet name="Ventas" sheetId="5" r:id="rId5"/>
    <sheet name="Gastos" sheetId="6" r:id="rId6"/>
    <sheet name="Retiros" sheetId="7" r:id="rId7"/>
    <sheet name="Listas" sheetId="8" r:id="rId8"/>
    <sheet name="Datos" sheetId="9" r:id="rId9"/>
  </sheets>
  <definedNames>
    <definedName name="Anio">Dashboard!$D$6</definedName>
    <definedName name="_xlnm.Print_Area" localSheetId="1">Dashboard!$A$1:$Q$68</definedName>
    <definedName name="ListaCanales">tblCanales[Canal]</definedName>
    <definedName name="ListaCategorias">tblCategorias[Categoría]</definedName>
    <definedName name="ListaEstados">tblEstados[Estado]</definedName>
    <definedName name="ListaModelos">tblModelos[Modelo]</definedName>
    <definedName name="ListaMotivos">tblMotivos[Motivo]</definedName>
    <definedName name="ListaSKU">tblProductos[SKU]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5" l="1"/>
  <c r="F30" i="5"/>
  <c r="H30" i="5" s="1"/>
  <c r="J30" i="5" s="1"/>
  <c r="D30" i="5"/>
  <c r="I29" i="5"/>
  <c r="F29" i="5"/>
  <c r="H29" i="5" s="1"/>
  <c r="D29" i="5"/>
  <c r="D28" i="5"/>
  <c r="F28" i="5"/>
  <c r="H28" i="5"/>
  <c r="I28" i="5"/>
  <c r="D27" i="5"/>
  <c r="F27" i="5"/>
  <c r="H27" i="5"/>
  <c r="I27" i="5"/>
  <c r="J27" i="5"/>
  <c r="B84" i="9"/>
  <c r="K22" i="1" s="1"/>
  <c r="B81" i="9"/>
  <c r="P16" i="1" s="1"/>
  <c r="B74" i="9"/>
  <c r="B73" i="9"/>
  <c r="B69" i="9"/>
  <c r="M11" i="1" s="1"/>
  <c r="A42" i="9"/>
  <c r="A41" i="9"/>
  <c r="A40" i="9"/>
  <c r="A39" i="9"/>
  <c r="A38" i="9"/>
  <c r="A34" i="9"/>
  <c r="B34" i="9" s="1"/>
  <c r="A33" i="9"/>
  <c r="B33" i="9" s="1"/>
  <c r="A32" i="9"/>
  <c r="B32" i="9" s="1"/>
  <c r="A31" i="9"/>
  <c r="B31" i="9" s="1"/>
  <c r="A30" i="9"/>
  <c r="B30" i="9" s="1"/>
  <c r="A29" i="9"/>
  <c r="B29" i="9" s="1"/>
  <c r="A25" i="9"/>
  <c r="A24" i="9"/>
  <c r="A23" i="9"/>
  <c r="A22" i="9"/>
  <c r="A21" i="9"/>
  <c r="A20" i="9"/>
  <c r="B15" i="9"/>
  <c r="B14" i="9"/>
  <c r="B13" i="9"/>
  <c r="B12" i="9"/>
  <c r="B11" i="9"/>
  <c r="B10" i="9"/>
  <c r="B9" i="9"/>
  <c r="B8" i="9"/>
  <c r="B7" i="9"/>
  <c r="B6" i="9"/>
  <c r="H5" i="9"/>
  <c r="B5" i="9"/>
  <c r="B4" i="9"/>
  <c r="I26" i="5"/>
  <c r="F26" i="5"/>
  <c r="H26" i="5" s="1"/>
  <c r="D26" i="5"/>
  <c r="I25" i="5"/>
  <c r="F25" i="5"/>
  <c r="H25" i="5" s="1"/>
  <c r="D25" i="5"/>
  <c r="I24" i="5"/>
  <c r="F24" i="5"/>
  <c r="H24" i="5" s="1"/>
  <c r="D24" i="5"/>
  <c r="I23" i="5"/>
  <c r="F23" i="5"/>
  <c r="H23" i="5" s="1"/>
  <c r="D23" i="5"/>
  <c r="I22" i="5"/>
  <c r="F22" i="5"/>
  <c r="H22" i="5" s="1"/>
  <c r="D22" i="5"/>
  <c r="I21" i="5"/>
  <c r="F21" i="5"/>
  <c r="H21" i="5" s="1"/>
  <c r="D21" i="5"/>
  <c r="I20" i="5"/>
  <c r="F20" i="5"/>
  <c r="H20" i="5" s="1"/>
  <c r="D20" i="5"/>
  <c r="I19" i="5"/>
  <c r="F19" i="5"/>
  <c r="H19" i="5" s="1"/>
  <c r="J19" i="5" s="1"/>
  <c r="D19" i="5"/>
  <c r="I18" i="5"/>
  <c r="F18" i="5"/>
  <c r="H18" i="5" s="1"/>
  <c r="J18" i="5" s="1"/>
  <c r="D18" i="5"/>
  <c r="I17" i="5"/>
  <c r="F17" i="5"/>
  <c r="H17" i="5" s="1"/>
  <c r="J17" i="5" s="1"/>
  <c r="D17" i="5"/>
  <c r="I16" i="5"/>
  <c r="F16" i="5"/>
  <c r="H16" i="5" s="1"/>
  <c r="D16" i="5"/>
  <c r="I15" i="5"/>
  <c r="F15" i="5"/>
  <c r="H15" i="5" s="1"/>
  <c r="D15" i="5"/>
  <c r="I14" i="5"/>
  <c r="F14" i="5"/>
  <c r="H14" i="5" s="1"/>
  <c r="D14" i="5"/>
  <c r="I13" i="5"/>
  <c r="F13" i="5"/>
  <c r="H13" i="5" s="1"/>
  <c r="J13" i="5" s="1"/>
  <c r="D13" i="5"/>
  <c r="I12" i="5"/>
  <c r="F12" i="5"/>
  <c r="H12" i="5" s="1"/>
  <c r="J12" i="5" s="1"/>
  <c r="D12" i="5"/>
  <c r="I11" i="5"/>
  <c r="F11" i="5"/>
  <c r="H11" i="5" s="1"/>
  <c r="J11" i="5" s="1"/>
  <c r="D11" i="5"/>
  <c r="I10" i="5"/>
  <c r="F10" i="5"/>
  <c r="H10" i="5" s="1"/>
  <c r="D10" i="5"/>
  <c r="I9" i="5"/>
  <c r="F9" i="5"/>
  <c r="H9" i="5" s="1"/>
  <c r="D9" i="5"/>
  <c r="I8" i="5"/>
  <c r="F8" i="5"/>
  <c r="H8" i="5" s="1"/>
  <c r="D8" i="5"/>
  <c r="I7" i="5"/>
  <c r="F7" i="5"/>
  <c r="H7" i="5" s="1"/>
  <c r="J7" i="5" s="1"/>
  <c r="D7" i="5"/>
  <c r="I6" i="5"/>
  <c r="F6" i="5"/>
  <c r="H6" i="5" s="1"/>
  <c r="D6" i="5"/>
  <c r="I5" i="5"/>
  <c r="F5" i="5"/>
  <c r="H5" i="5" s="1"/>
  <c r="D5" i="5"/>
  <c r="F7" i="4"/>
  <c r="C7" i="4"/>
  <c r="F6" i="4"/>
  <c r="C6" i="4"/>
  <c r="F5" i="4"/>
  <c r="C5" i="4"/>
  <c r="N20" i="3"/>
  <c r="J20" i="3"/>
  <c r="I20" i="3"/>
  <c r="N19" i="3"/>
  <c r="J19" i="3"/>
  <c r="I19" i="3"/>
  <c r="N18" i="3"/>
  <c r="J18" i="3"/>
  <c r="I18" i="3"/>
  <c r="N17" i="3"/>
  <c r="J17" i="3"/>
  <c r="I17" i="3"/>
  <c r="N16" i="3"/>
  <c r="J16" i="3"/>
  <c r="I16" i="3"/>
  <c r="N15" i="3"/>
  <c r="J15" i="3"/>
  <c r="I15" i="3"/>
  <c r="N14" i="3"/>
  <c r="J14" i="3"/>
  <c r="I14" i="3"/>
  <c r="N13" i="3"/>
  <c r="J13" i="3"/>
  <c r="I13" i="3"/>
  <c r="N12" i="3"/>
  <c r="J12" i="3"/>
  <c r="I12" i="3"/>
  <c r="N11" i="3"/>
  <c r="J11" i="3"/>
  <c r="I11" i="3"/>
  <c r="N10" i="3"/>
  <c r="J10" i="3"/>
  <c r="I10" i="3"/>
  <c r="N9" i="3"/>
  <c r="J9" i="3"/>
  <c r="I9" i="3"/>
  <c r="N8" i="3"/>
  <c r="J8" i="3"/>
  <c r="I8" i="3"/>
  <c r="N7" i="3"/>
  <c r="J7" i="3"/>
  <c r="I7" i="3"/>
  <c r="N6" i="3"/>
  <c r="J6" i="3"/>
  <c r="I6" i="3"/>
  <c r="N5" i="3"/>
  <c r="J5" i="3"/>
  <c r="I5" i="3"/>
  <c r="H47" i="1"/>
  <c r="H46" i="1"/>
  <c r="H45" i="1"/>
  <c r="H44" i="1"/>
  <c r="H43" i="1"/>
  <c r="D16" i="1"/>
  <c r="B14" i="1"/>
  <c r="J22" i="5" l="1"/>
  <c r="J16" i="5"/>
  <c r="J10" i="5"/>
  <c r="J28" i="5"/>
  <c r="J29" i="5"/>
  <c r="J21" i="5"/>
  <c r="J9" i="5"/>
  <c r="J6" i="5"/>
  <c r="J14" i="5"/>
  <c r="J23" i="5"/>
  <c r="J20" i="5"/>
  <c r="J25" i="5"/>
  <c r="J15" i="5"/>
  <c r="J26" i="5"/>
  <c r="J24" i="5"/>
  <c r="J8" i="5"/>
  <c r="B80" i="9"/>
  <c r="N14" i="1" s="1"/>
  <c r="K8" i="3"/>
  <c r="K7" i="3"/>
  <c r="K9" i="3"/>
  <c r="K6" i="3"/>
  <c r="K5" i="3"/>
  <c r="K14" i="3"/>
  <c r="K10" i="3"/>
  <c r="K17" i="3"/>
  <c r="K11" i="3"/>
  <c r="N29" i="5" s="1"/>
  <c r="K12" i="3"/>
  <c r="N28" i="5" s="1"/>
  <c r="K13" i="3"/>
  <c r="K18" i="3"/>
  <c r="K19" i="3"/>
  <c r="K15" i="3"/>
  <c r="K20" i="3"/>
  <c r="K16" i="3"/>
  <c r="B86" i="9"/>
  <c r="P22" i="1" s="1"/>
  <c r="D42" i="9"/>
  <c r="O47" i="1" s="1"/>
  <c r="C42" i="9"/>
  <c r="M47" i="1" s="1"/>
  <c r="B42" i="9"/>
  <c r="K47" i="1" s="1"/>
  <c r="D41" i="9"/>
  <c r="O46" i="1" s="1"/>
  <c r="C41" i="9"/>
  <c r="M46" i="1" s="1"/>
  <c r="B41" i="9"/>
  <c r="K46" i="1" s="1"/>
  <c r="C40" i="9"/>
  <c r="M45" i="1" s="1"/>
  <c r="D40" i="9"/>
  <c r="O45" i="1" s="1"/>
  <c r="D39" i="9"/>
  <c r="O44" i="1" s="1"/>
  <c r="C39" i="9"/>
  <c r="M44" i="1" s="1"/>
  <c r="D38" i="9"/>
  <c r="C38" i="9"/>
  <c r="C25" i="9"/>
  <c r="B25" i="9"/>
  <c r="C24" i="9"/>
  <c r="B24" i="9"/>
  <c r="C23" i="9"/>
  <c r="B23" i="9"/>
  <c r="C22" i="9"/>
  <c r="B22" i="9"/>
  <c r="C21" i="9"/>
  <c r="B21" i="9"/>
  <c r="C20" i="9"/>
  <c r="B20" i="9"/>
  <c r="C15" i="9"/>
  <c r="D15" i="9"/>
  <c r="F15" i="9"/>
  <c r="H15" i="9"/>
  <c r="J15" i="9"/>
  <c r="C14" i="9"/>
  <c r="H14" i="9"/>
  <c r="D14" i="9"/>
  <c r="F14" i="9"/>
  <c r="J14" i="9"/>
  <c r="J13" i="9"/>
  <c r="F13" i="9"/>
  <c r="D13" i="9"/>
  <c r="C13" i="9"/>
  <c r="H13" i="9"/>
  <c r="H12" i="9"/>
  <c r="J12" i="9"/>
  <c r="C12" i="9"/>
  <c r="F12" i="9"/>
  <c r="D12" i="9"/>
  <c r="C11" i="9"/>
  <c r="D11" i="9"/>
  <c r="F11" i="9"/>
  <c r="H11" i="9"/>
  <c r="J11" i="9"/>
  <c r="H10" i="9"/>
  <c r="C10" i="9"/>
  <c r="D10" i="9"/>
  <c r="F10" i="9"/>
  <c r="J10" i="9"/>
  <c r="F9" i="9"/>
  <c r="J9" i="9"/>
  <c r="H9" i="9"/>
  <c r="D9" i="9"/>
  <c r="C9" i="9"/>
  <c r="J8" i="9"/>
  <c r="H8" i="9"/>
  <c r="F8" i="9"/>
  <c r="D8" i="9"/>
  <c r="C8" i="9"/>
  <c r="J7" i="9"/>
  <c r="H7" i="9"/>
  <c r="F7" i="9"/>
  <c r="D7" i="9"/>
  <c r="C7" i="9"/>
  <c r="F6" i="9"/>
  <c r="J6" i="9"/>
  <c r="H6" i="9"/>
  <c r="D6" i="9"/>
  <c r="C6" i="9"/>
  <c r="C5" i="9"/>
  <c r="D5" i="9"/>
  <c r="F5" i="9"/>
  <c r="J5" i="9"/>
  <c r="H4" i="9"/>
  <c r="C4" i="9"/>
  <c r="F4" i="9"/>
  <c r="J4" i="9"/>
  <c r="J16" i="9" s="1"/>
  <c r="D4" i="9"/>
  <c r="J5" i="5"/>
  <c r="B83" i="9"/>
  <c r="B51" i="9"/>
  <c r="C51" i="9" s="1"/>
  <c r="B50" i="9"/>
  <c r="C50" i="9" s="1"/>
  <c r="B49" i="9"/>
  <c r="C49" i="9" s="1"/>
  <c r="B48" i="9"/>
  <c r="C48" i="9" s="1"/>
  <c r="B47" i="9"/>
  <c r="C47" i="9" s="1"/>
  <c r="N27" i="5" l="1"/>
  <c r="N30" i="5"/>
  <c r="N24" i="5"/>
  <c r="N12" i="5"/>
  <c r="M8" i="3"/>
  <c r="L8" i="3"/>
  <c r="N23" i="5"/>
  <c r="L7" i="3"/>
  <c r="M7" i="3"/>
  <c r="L9" i="3"/>
  <c r="M9" i="3"/>
  <c r="L6" i="3"/>
  <c r="M6" i="3"/>
  <c r="N11" i="5"/>
  <c r="N22" i="5"/>
  <c r="N13" i="5"/>
  <c r="B38" i="9"/>
  <c r="K43" i="1" s="1"/>
  <c r="N10" i="5"/>
  <c r="L5" i="3"/>
  <c r="M5" i="3"/>
  <c r="N14" i="5"/>
  <c r="N21" i="5"/>
  <c r="N9" i="5"/>
  <c r="B55" i="9"/>
  <c r="C55" i="9" s="1"/>
  <c r="B56" i="9"/>
  <c r="C56" i="9" s="1"/>
  <c r="B57" i="9"/>
  <c r="C57" i="9" s="1"/>
  <c r="B58" i="9"/>
  <c r="C58" i="9" s="1"/>
  <c r="B59" i="9"/>
  <c r="C59" i="9" s="1"/>
  <c r="B39" i="9"/>
  <c r="K44" i="1" s="1"/>
  <c r="L14" i="3"/>
  <c r="M14" i="3"/>
  <c r="N8" i="5"/>
  <c r="N6" i="5"/>
  <c r="N15" i="5"/>
  <c r="L10" i="3"/>
  <c r="M10" i="3"/>
  <c r="L17" i="3"/>
  <c r="M17" i="3"/>
  <c r="L11" i="3"/>
  <c r="M11" i="3"/>
  <c r="N17" i="5"/>
  <c r="L12" i="3"/>
  <c r="M12" i="3"/>
  <c r="N18" i="5"/>
  <c r="N19" i="5"/>
  <c r="L13" i="3"/>
  <c r="M13" i="3"/>
  <c r="N5" i="5"/>
  <c r="N7" i="5"/>
  <c r="M15" i="3"/>
  <c r="N20" i="5"/>
  <c r="L15" i="3"/>
  <c r="B40" i="9"/>
  <c r="L16" i="3"/>
  <c r="M16" i="3"/>
  <c r="N16" i="5"/>
  <c r="L18" i="3"/>
  <c r="M18" i="3"/>
  <c r="L19" i="3"/>
  <c r="M19" i="3"/>
  <c r="N25" i="5"/>
  <c r="L20" i="3"/>
  <c r="M20" i="3"/>
  <c r="N26" i="5"/>
  <c r="D43" i="9"/>
  <c r="O48" i="1" s="1"/>
  <c r="O43" i="1"/>
  <c r="C43" i="9"/>
  <c r="M48" i="1" s="1"/>
  <c r="M43" i="1"/>
  <c r="E15" i="9"/>
  <c r="G15" i="9" s="1"/>
  <c r="I15" i="9"/>
  <c r="E14" i="9"/>
  <c r="G14" i="9" s="1"/>
  <c r="I14" i="9"/>
  <c r="E13" i="9"/>
  <c r="G13" i="9" s="1"/>
  <c r="I13" i="9" s="1"/>
  <c r="E12" i="9"/>
  <c r="G12" i="9" s="1"/>
  <c r="I12" i="9"/>
  <c r="E11" i="9"/>
  <c r="G11" i="9" s="1"/>
  <c r="I11" i="9"/>
  <c r="E10" i="9"/>
  <c r="G10" i="9" s="1"/>
  <c r="I10" i="9"/>
  <c r="E9" i="9"/>
  <c r="G9" i="9" s="1"/>
  <c r="I9" i="9"/>
  <c r="E8" i="9"/>
  <c r="G8" i="9" s="1"/>
  <c r="I8" i="9"/>
  <c r="E7" i="9"/>
  <c r="G7" i="9" s="1"/>
  <c r="I7" i="9"/>
  <c r="E6" i="9"/>
  <c r="G6" i="9" s="1"/>
  <c r="I6" i="9"/>
  <c r="E5" i="9"/>
  <c r="G5" i="9" s="1"/>
  <c r="I5" i="9"/>
  <c r="E4" i="9"/>
  <c r="I4" i="9"/>
  <c r="C16" i="9"/>
  <c r="G20" i="1"/>
  <c r="D51" i="9"/>
  <c r="E51" i="9"/>
  <c r="F51" i="9"/>
  <c r="D50" i="9"/>
  <c r="E50" i="9"/>
  <c r="F50" i="9"/>
  <c r="D49" i="9"/>
  <c r="E49" i="9"/>
  <c r="F49" i="9"/>
  <c r="D48" i="9"/>
  <c r="E48" i="9"/>
  <c r="F48" i="9"/>
  <c r="D47" i="9"/>
  <c r="E47" i="9"/>
  <c r="F47" i="9"/>
  <c r="F16" i="9"/>
  <c r="B65" i="9" s="1"/>
  <c r="H16" i="9"/>
  <c r="B66" i="9" s="1"/>
  <c r="K9" i="1" s="1"/>
  <c r="D16" i="9"/>
  <c r="H58" i="9" l="1"/>
  <c r="M63" i="1" s="1"/>
  <c r="H59" i="9"/>
  <c r="M64" i="1" s="1"/>
  <c r="H57" i="9"/>
  <c r="M62" i="1" s="1"/>
  <c r="H56" i="9"/>
  <c r="E55" i="9"/>
  <c r="D55" i="9"/>
  <c r="F55" i="9"/>
  <c r="G55" i="9"/>
  <c r="H55" i="9"/>
  <c r="D56" i="9"/>
  <c r="E56" i="9"/>
  <c r="F56" i="9"/>
  <c r="G56" i="9"/>
  <c r="D57" i="9"/>
  <c r="F57" i="9"/>
  <c r="E57" i="9"/>
  <c r="G57" i="9"/>
  <c r="D58" i="9"/>
  <c r="F58" i="9"/>
  <c r="G58" i="9"/>
  <c r="E58" i="9"/>
  <c r="D59" i="9"/>
  <c r="G59" i="9"/>
  <c r="E59" i="9"/>
  <c r="F59" i="9"/>
  <c r="K45" i="1"/>
  <c r="B43" i="9"/>
  <c r="K48" i="1" s="1"/>
  <c r="B68" i="9"/>
  <c r="B67" i="9"/>
  <c r="N9" i="1" s="1"/>
  <c r="G4" i="9"/>
  <c r="G16" i="9" s="1"/>
  <c r="E16" i="9"/>
  <c r="B78" i="9" s="1"/>
  <c r="K14" i="1" s="1"/>
  <c r="B63" i="9"/>
  <c r="I56" i="1"/>
  <c r="K56" i="1"/>
  <c r="O56" i="1"/>
  <c r="K55" i="1"/>
  <c r="I55" i="1"/>
  <c r="O55" i="1"/>
  <c r="K54" i="1"/>
  <c r="I54" i="1"/>
  <c r="O54" i="1"/>
  <c r="O53" i="1"/>
  <c r="I53" i="1"/>
  <c r="K53" i="1"/>
  <c r="O52" i="1"/>
  <c r="I52" i="1"/>
  <c r="K52" i="1"/>
  <c r="H9" i="1"/>
  <c r="B87" i="9"/>
  <c r="B63" i="1" l="1"/>
  <c r="I63" i="1"/>
  <c r="K62" i="1"/>
  <c r="D62" i="1"/>
  <c r="B62" i="1"/>
  <c r="I62" i="1"/>
  <c r="K63" i="1"/>
  <c r="D63" i="1"/>
  <c r="B64" i="1"/>
  <c r="K64" i="1"/>
  <c r="D64" i="1"/>
  <c r="I64" i="1"/>
  <c r="B61" i="1"/>
  <c r="I61" i="1"/>
  <c r="M61" i="1"/>
  <c r="D61" i="1"/>
  <c r="K61" i="1"/>
  <c r="M60" i="1"/>
  <c r="K60" i="1"/>
  <c r="B60" i="1"/>
  <c r="I60" i="1"/>
  <c r="D60" i="1"/>
  <c r="P11" i="1"/>
  <c r="B64" i="9"/>
  <c r="I16" i="9"/>
  <c r="B70" i="9"/>
  <c r="D11" i="1" s="1"/>
  <c r="B72" i="9"/>
  <c r="J11" i="1" s="1"/>
  <c r="B79" i="9"/>
  <c r="M16" i="1" s="1"/>
  <c r="B85" i="9"/>
  <c r="B9" i="1"/>
  <c r="B20" i="1"/>
  <c r="B75" i="9" l="1"/>
  <c r="B76" i="9"/>
  <c r="G16" i="1" s="1"/>
  <c r="J16" i="1"/>
  <c r="E9" i="1"/>
  <c r="B71" i="9"/>
  <c r="G11" i="1" s="1"/>
  <c r="L20" i="1"/>
  <c r="B88" i="9"/>
  <c r="F22" i="1" s="1"/>
  <c r="B82" i="9" l="1"/>
  <c r="B17" i="1" s="1"/>
  <c r="B77" i="9"/>
  <c r="H14" i="1" s="1"/>
  <c r="E14" i="1"/>
</calcChain>
</file>

<file path=xl/sharedStrings.xml><?xml version="1.0" encoding="utf-8"?>
<sst xmlns="http://schemas.openxmlformats.org/spreadsheetml/2006/main" count="472" uniqueCount="256">
  <si>
    <t>🎄 Cómo usar este Excel — flujo de trabajo</t>
  </si>
  <si>
    <t>Sigue los pasos en orden la primera vez; después solo repite la rutina diaria, semanal y mensual.</t>
  </si>
  <si>
    <t>Paso</t>
  </si>
  <si>
    <t>Cuándo</t>
  </si>
  <si>
    <t>Qué hacer</t>
  </si>
  <si>
    <t>Hoja</t>
  </si>
  <si>
    <t>A. CONFIGURACIÓN (ya está lista con tus productos y gastos)</t>
  </si>
  <si>
    <t>Una vez</t>
  </si>
  <si>
    <t>Revisa en Productos que el costo, precio, stock inicial (lo que realmente tienes hoy) y stock mínimo de cada pijama sean correctos. Si cambias a un nuevo modelo, agrégalo también en Listas → Modelo.</t>
  </si>
  <si>
    <t>Productos / Listas</t>
  </si>
  <si>
    <t>Revisa canales de venta, categorías de gasto, estados y motivos de retiro; agrega los que falten debajo de cada lista y aparecerán en los menús.</t>
  </si>
  <si>
    <t>Listas</t>
  </si>
  <si>
    <t>B. RUTINA DIARIA</t>
  </si>
  <si>
    <t>Cada venta</t>
  </si>
  <si>
    <t>En la primera fila vacía debajo de la tabla de Ventas escribe: fecha, pedido, SKU (menú), cantidad, descuento (si hay), canal, cliente y estado. Precio, total, costo y utilidad se llenan solos y el stock baja automáticamente.</t>
  </si>
  <si>
    <t>Ventas</t>
  </si>
  <si>
    <t>Mira la columna «Alerta»: si dice «Stock insuficiente» o «SKU no registrado», corrige antes de seguir.</t>
  </si>
  <si>
    <t>Al enviar / cobrar</t>
  </si>
  <si>
    <t>El «Estado» indica el dinero: «Entregado» = ya te pagaron; «Pendiente» = te lo deben. Aparece en el Dashboard como «Dinero cobrado» y «Por cobrar».</t>
  </si>
  <si>
    <t>Cuando te paguen</t>
  </si>
  <si>
    <t>Cambia el Estado de ese pedido a «Entregado». Si el monto real es distinto al que estaba estimado, ajusta la columna «Descuento» de la primera fila de ese pedido hasta que el total coincida (descuento negativo = sube el total).</t>
  </si>
  <si>
    <t>Si hay devolución</t>
  </si>
  <si>
    <t>Agrega otra fila con el mismo SKU y la cantidad en NEGATIVO (ej. -1). Regresa al inventario y se resta de las ventas.</t>
  </si>
  <si>
    <t>Cada compra</t>
  </si>
  <si>
    <t>Cuando llegue mercadería: fecha, SKU, cantidad, costo unitario y proveedor. El stock sube solo. Si es un SKU nuevo, regístralo primero en Productos.</t>
  </si>
  <si>
    <t>Compras</t>
  </si>
  <si>
    <t>Cada gasto</t>
  </si>
  <si>
    <t>Anota publicidad, envíos, empaque, comisiones, etc. (la compra de mercadería va en Compras y el dinero que sacas para ti va en Retiros, no aquí).</t>
  </si>
  <si>
    <t>Gastos</t>
  </si>
  <si>
    <t>Cada retiro</t>
  </si>
  <si>
    <t>Cuando saques dinero de las ganancias para ti o para donar (ej. entregar una venta a la iglesia): fecha, concepto, motivo y monto. NO lo anotes en Gastos: así la utilidad del negocio no se distorsiona.</t>
  </si>
  <si>
    <t>Retiros</t>
  </si>
  <si>
    <t>C. REVISIÓN SEMANAL</t>
  </si>
  <si>
    <t>1 vez por semana</t>
  </si>
  <si>
    <t>Abre el Dashboard → «Alertas de reposición» (o filtra Estado = REPONER / AGOTADO en Productos) y haz el pedido al proveedor.</t>
  </si>
  <si>
    <t>Dashboard / Productos</t>
  </si>
  <si>
    <t>Cuenta físicamente las prendas y compáralas con «Stock actual». Si hay diferencia, corrige con una fila en Compras: proveedor «AJUSTE», costo 0 y cantidad positiva o negativa. Compara también «Efectivo estimado en mano» del Dashboard con el dinero que realmente tienes.</t>
  </si>
  <si>
    <t>Productos / Compras</t>
  </si>
  <si>
    <t>Antes de retirar dinero mira en el Dashboard «Disponible para retirar»: es la utilidad que aún no has sacado. Retirar más que eso es usar el dinero que hace falta para reponer mercadería.</t>
  </si>
  <si>
    <t>Dashboard</t>
  </si>
  <si>
    <t>D. CIERRE MENSUAL / DE TEMPORADA</t>
  </si>
  <si>
    <t>Fin de mes</t>
  </si>
  <si>
    <t>Revisa en el Dashboard las ventas, utilidad neta, margen, canal que más vende y valor del inventario. Cambia el año en la celda dorada si quieres ver otro año.</t>
  </si>
  <si>
    <t>Fin de temporada</t>
  </si>
  <si>
    <t>Compara la utilidad neta con los retiros: si «Utilidad después de retiros» es positiva, el negocio aguantó lo retirado y quedó ganancia; si es negativa, parte de lo retirado salió del capital.</t>
  </si>
  <si>
    <t>Guarda una copia del archivo con el mes en el nombre (ej. pijamas_2026-12.xlsx) como respaldo.</t>
  </si>
  <si>
    <t>—</t>
  </si>
  <si>
    <t>E. REGLAS PARA QUE TODO FUNCIONE</t>
  </si>
  <si>
    <t>•</t>
  </si>
  <si>
    <t>Siempre</t>
  </si>
  <si>
    <t>Todo son TABLAS de Excel: para agregar un registro escribe justo debajo de la última fila (o pulsa Tab en la última celda). La tabla crece sola, copia las fórmulas y los menús, y el Dashboard se actualiza; no hay límite de registros.</t>
  </si>
  <si>
    <t>Escribe solo en columnas con encabezado VERDE (texto azul). Las de encabezado ROJO son fórmulas automáticas.</t>
  </si>
  <si>
    <t>No cambies los nombres de las hojas ni de los encabezados de las tablas. Para borrar un registro, clic derecho en su fila → Eliminar → Filas de la tabla.</t>
  </si>
  <si>
    <t>Gastos = lo que cuesta operar el negocio. Retiros = lo que sacas de las ganancias. No los mezcles.</t>
  </si>
  <si>
    <t>Gastos / Retiros</t>
  </si>
  <si>
    <t>El costo de lo vendido usa el costo actual del catálogo. Si el costo de un modelo cambia mucho, crea un SKU nuevo (ej. PJ-M-M2) para no alterar la utilidad histórica.</t>
  </si>
  <si>
    <t>Productos</t>
  </si>
  <si>
    <t>Los gráficos muestran hasta 6 canales de venta y 6 categorías de gasto, y la tabla de modelos hasta 5 modelos. Hoja «Datos» = cálculos internos, no editar.</t>
  </si>
  <si>
    <t>Dashboard / Datos</t>
  </si>
  <si>
    <t>Colores:</t>
  </si>
  <si>
    <t>Encabezado verde = tú escribes · Encabezado rojo = fórmula automática · Celda dorada = año del dashboard</t>
  </si>
  <si>
    <t>🎄  DASHBOARD DE NEGOCIO · PIJAMAS  🎄</t>
  </si>
  <si>
    <t>Inventario  ·  Ventas  ·  Gastos  ·  Retiros     ❄  Temporada navideña  ❄</t>
  </si>
  <si>
    <t>AÑO A ANALIZAR</t>
  </si>
  <si>
    <t>← elige el año con la flecha</t>
  </si>
  <si>
    <t>VENTAS DEL AÑO</t>
  </si>
  <si>
    <t>UTILIDAD NETA</t>
  </si>
  <si>
    <t>GASTOS DEL AÑO</t>
  </si>
  <si>
    <t>UNIDADES VENDIDAS</t>
  </si>
  <si>
    <t>VALOR DEL INVENTARIO</t>
  </si>
  <si>
    <t>Ticket promedio</t>
  </si>
  <si>
    <t>Margen neto</t>
  </si>
  <si>
    <t>% de las ventas</t>
  </si>
  <si>
    <t>Ventas registradas</t>
  </si>
  <si>
    <t>Por reponer</t>
  </si>
  <si>
    <t>RETIROS DEL AÑO</t>
  </si>
  <si>
    <t>UTILIDAD DESPUÉS DE RETIROS</t>
  </si>
  <si>
    <t>GANANCIA LIBRE PARA RETIRAR</t>
  </si>
  <si>
    <t>UTILIDAD BRUTA</t>
  </si>
  <si>
    <t>COMPRAS DE MERCADERÍA</t>
  </si>
  <si>
    <t>Nº de retiros</t>
  </si>
  <si>
    <t>Retiros / utilidad</t>
  </si>
  <si>
    <t>Utilidad neta</t>
  </si>
  <si>
    <t>Margen bruto</t>
  </si>
  <si>
    <t>Nº de compras</t>
  </si>
  <si>
    <t>💵  DINERO EN CAJA (LO QUE TIENES HOY)</t>
  </si>
  <si>
    <t>YA COBRADO (ENTREGADO)</t>
  </si>
  <si>
    <t>POR COBRAR (PENDIENTE)</t>
  </si>
  <si>
    <t>Si cobras lo pendiente serían</t>
  </si>
  <si>
    <t>Pedidos cobrados</t>
  </si>
  <si>
    <t>Registros pendientes</t>
  </si>
  <si>
    <t>Dinero en caja = lo ya cobrado − gastos − retiros − compras. NO incluye lo pendiente y NO es ganancia: la mayor parte es dinero para reponer mercadería.</t>
  </si>
  <si>
    <t>📈  Ventas, utilidad neta y retiros por mes</t>
  </si>
  <si>
    <t>🛍  Ventas por canal</t>
  </si>
  <si>
    <t>🎁  Gastos por categoría</t>
  </si>
  <si>
    <t>📦  Inventario y ventas por modelo</t>
  </si>
  <si>
    <t>Modelo</t>
  </si>
  <si>
    <t>Stock actual</t>
  </si>
  <si>
    <t>Unid. vendidas (año)</t>
  </si>
  <si>
    <t>Ventas (año)</t>
  </si>
  <si>
    <t>TOTAL</t>
  </si>
  <si>
    <t>🏆  Top 5 más vendidos (acumulado)</t>
  </si>
  <si>
    <t>#</t>
  </si>
  <si>
    <t>SKU</t>
  </si>
  <si>
    <t>Producto</t>
  </si>
  <si>
    <t>Unidades</t>
  </si>
  <si>
    <t>⚠  Alertas de reposición</t>
  </si>
  <si>
    <t>Stock mínimo</t>
  </si>
  <si>
    <t>Estado</t>
  </si>
  <si>
    <t>🎅  ¡Felices fiestas y muchas ventas!  🎁</t>
  </si>
  <si>
    <t>Catálogo e inventario</t>
  </si>
  <si>
    <t>Encabezado VERDE = tú escribes (texto azul) · Encabezado ROJO = fórmula automática, no la borres. Para agregar un registro escribe en la fila justo debajo de la tabla: ella crece sola.</t>
  </si>
  <si>
    <t>Talla</t>
  </si>
  <si>
    <t>Color</t>
  </si>
  <si>
    <t>Costo unitario</t>
  </si>
  <si>
    <t>Precio venta</t>
  </si>
  <si>
    <t>Stock inicial</t>
  </si>
  <si>
    <t>Entradas</t>
  </si>
  <si>
    <t>Salidas</t>
  </si>
  <si>
    <t>Valor inventario</t>
  </si>
  <si>
    <t>Margen</t>
  </si>
  <si>
    <t>PJ-M-S</t>
  </si>
  <si>
    <t>Pijama Mujer</t>
  </si>
  <si>
    <t>S</t>
  </si>
  <si>
    <t>Verde</t>
  </si>
  <si>
    <t>PJ-M-M</t>
  </si>
  <si>
    <t>M</t>
  </si>
  <si>
    <t>PJ-M-L</t>
  </si>
  <si>
    <t>L</t>
  </si>
  <si>
    <t>PJ-M-XL</t>
  </si>
  <si>
    <t>XL</t>
  </si>
  <si>
    <t>PJ-M-XXL</t>
  </si>
  <si>
    <t>XXL</t>
  </si>
  <si>
    <t>PJ-N-4</t>
  </si>
  <si>
    <t>Pijama Niño</t>
  </si>
  <si>
    <t>PJ-N-6</t>
  </si>
  <si>
    <t>PJ-N-8</t>
  </si>
  <si>
    <t>PJ-N-10</t>
  </si>
  <si>
    <t>PJ-N-12</t>
  </si>
  <si>
    <t>PJ-N-14</t>
  </si>
  <si>
    <t>PJ-H-S</t>
  </si>
  <si>
    <t>Pijama Hombre</t>
  </si>
  <si>
    <t>PJ-H-M</t>
  </si>
  <si>
    <t>PJ-H-L</t>
  </si>
  <si>
    <t>PJ-H-XL</t>
  </si>
  <si>
    <t>PJ-H-XXL</t>
  </si>
  <si>
    <t>Compras / entradas de mercadería</t>
  </si>
  <si>
    <t>Encabezado VERDE = tú escribes (texto azul) · Encabezado ROJO = fórmula automática, no la borres. Para agregar un registro escribe en la fila justo debajo de la tabla: ella crece sola. Para ajustes de inventario usa proveedor «AJUSTE», costo 0 y cantidad + o −.</t>
  </si>
  <si>
    <t>Fecha</t>
  </si>
  <si>
    <t>Cantidad</t>
  </si>
  <si>
    <t>Total</t>
  </si>
  <si>
    <t>Proveedor</t>
  </si>
  <si>
    <t>AJUSTE (salida sin registro)</t>
  </si>
  <si>
    <t>Registro de ventas</t>
  </si>
  <si>
    <t>Encabezado VERDE = tú escribes (texto azul) · Encabezado ROJO = fórmula automática, no la borres. Para agregar un registro escribe en la fila justo debajo de la tabla: ella crece sola. El precio sale del catálogo (puedes escribir encima si vendiste a otro precio). Devolución = misma venta con cantidad NEGATIVA.</t>
  </si>
  <si>
    <t>Pedido</t>
  </si>
  <si>
    <t>Precio unitario</t>
  </si>
  <si>
    <t>Descuento</t>
  </si>
  <si>
    <t>Total venta</t>
  </si>
  <si>
    <t>Costo</t>
  </si>
  <si>
    <t>Utilidad</t>
  </si>
  <si>
    <t>Canal</t>
  </si>
  <si>
    <t>Cliente</t>
  </si>
  <si>
    <t>Alerta</t>
  </si>
  <si>
    <t>WhatsApp</t>
  </si>
  <si>
    <t>Polinaria</t>
  </si>
  <si>
    <t>Entregado</t>
  </si>
  <si>
    <t>Silvia Guerrero</t>
  </si>
  <si>
    <t>Chambita</t>
  </si>
  <si>
    <t>Roxana</t>
  </si>
  <si>
    <t>Noita</t>
  </si>
  <si>
    <t>Pendiente</t>
  </si>
  <si>
    <t>RUT</t>
  </si>
  <si>
    <t>261028-1212</t>
  </si>
  <si>
    <t>Rosa Monterosa</t>
  </si>
  <si>
    <t>261028-1217</t>
  </si>
  <si>
    <t>261028-1311</t>
  </si>
  <si>
    <t>Marketplace</t>
  </si>
  <si>
    <t>Ahelin Santamaria</t>
  </si>
  <si>
    <t>Gastos del negocio</t>
  </si>
  <si>
    <t>Encabezado VERDE = tú escribes (texto azul) · Encabezado ROJO = fórmula automática, no la borres. Para agregar un registro escribe en la fila justo debajo de la tabla: ella crece sola. Aquí van los gastos que NO son mercadería: publicidad, envíos, empaque, comisiones…</t>
  </si>
  <si>
    <t>Concepto</t>
  </si>
  <si>
    <t>Categoría</t>
  </si>
  <si>
    <t>Monto</t>
  </si>
  <si>
    <t>Caja de dinero en efectivo</t>
  </si>
  <si>
    <t>Otros</t>
  </si>
  <si>
    <t>Publicidad de marketplace</t>
  </si>
  <si>
    <t>Publicidad</t>
  </si>
  <si>
    <t>Bolsas para paquete</t>
  </si>
  <si>
    <t>Empaque</t>
  </si>
  <si>
    <t>Retiros del dueño</t>
  </si>
  <si>
    <t>Encabezado VERDE = tú escribes (texto azul) · Encabezado ROJO = fórmula automática, no la borres. Para agregar un registro escribe en la fila justo debajo de la tabla: ella crece sola. Aquí va el dinero que SACAS de las ganancias (para ti o para donar). NO son gastos del negocio: no los anotes en Gastos.</t>
  </si>
  <si>
    <t>Motivo</t>
  </si>
  <si>
    <t>Venta de 2 pijamas entregada a la iglesia</t>
  </si>
  <si>
    <t>Donación</t>
  </si>
  <si>
    <t>IGLESIA</t>
  </si>
  <si>
    <t>DESAYUNO PROPIO</t>
  </si>
  <si>
    <t>Uso personal</t>
  </si>
  <si>
    <t>Listas de los menús desplegables</t>
  </si>
  <si>
    <t>Agrega elementos debajo de cada lista: los menús se actualizan solos. Evita cambiarles el nombre a los que ya usaste.</t>
  </si>
  <si>
    <t>Instagram</t>
  </si>
  <si>
    <t>Envíos</t>
  </si>
  <si>
    <t>Enviado</t>
  </si>
  <si>
    <t>Facebook</t>
  </si>
  <si>
    <t>Otro</t>
  </si>
  <si>
    <t>Sitio web</t>
  </si>
  <si>
    <t>Comisiones</t>
  </si>
  <si>
    <t>Herramientas / apps</t>
  </si>
  <si>
    <t>Cálculos del dashboard (no editar — todo se calcula solo desde las tablas)</t>
  </si>
  <si>
    <t>Mes</t>
  </si>
  <si>
    <t>Inicio</t>
  </si>
  <si>
    <t>Utilidad bruta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</si>
  <si>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</si>
  <si>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</si>
  <si>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</si>
  <si>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</si>
  <si>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</si>
  <si>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</si>
  <si>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</si>
  <si>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</si>
  <si>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</si>
  <si>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</si>
  <si>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</si>
  <si>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</si>
  <si>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 por canal (año seleccionado)</t>
  </si>
  <si>
    <t>Gastos por categoría (año seleccionado)</t>
  </si>
  <si>
    <t>Inventario y ventas por modelo</t>
  </si>
  <si>
    <t>Ventas $ (año)</t>
  </si>
  <si>
    <t>Top 5 más vendidos (acumulado)</t>
  </si>
  <si>
    <t>Clave</t>
  </si>
  <si>
    <t>Posición</t>
  </si>
  <si>
    <t>Alertas de reposición</t>
  </si>
  <si>
    <t>Stock</t>
  </si>
  <si>
    <t>Mínimo</t>
  </si>
  <si>
    <t>Indicadores</t>
  </si>
  <si>
    <t>Indicador</t>
  </si>
  <si>
    <t>Valor</t>
  </si>
  <si>
    <t>Ventas del año</t>
  </si>
  <si>
    <t>Gastos del año</t>
  </si>
  <si>
    <t>Unidades vendidas</t>
  </si>
  <si>
    <t>Valor del inventario</t>
  </si>
  <si>
    <t>Por reponer o agotados</t>
  </si>
  <si>
    <t>Ventas registradas (año)</t>
  </si>
  <si>
    <t>Gastos / ventas</t>
  </si>
  <si>
    <t>Retiros del año</t>
  </si>
  <si>
    <t>Utilidad después de retiros</t>
  </si>
  <si>
    <t>Retiros / utilidad neta</t>
  </si>
  <si>
    <t>Disponible para retirar</t>
  </si>
  <si>
    <t>Compras de mercadería (año)</t>
  </si>
  <si>
    <t>Mensaje de retiros</t>
  </si>
  <si>
    <t>Dinero cobrado (Entregado)</t>
  </si>
  <si>
    <t>Registros cobrados</t>
  </si>
  <si>
    <t>Por cobrar</t>
  </si>
  <si>
    <t>Registros por cobrar</t>
  </si>
  <si>
    <t>Efectivo estimado en mano</t>
  </si>
  <si>
    <t>Efectivo si cobras lo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</si>
</sst>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mmm\ yyyy"/>
    <numFmt numFmtId="167" formatCode="\$#,##0.00;\(\$#,##0.00\);\-"/>
  </numFmts>
  <fonts count="23" x14ac:knownFonts="1">
    <font>
      <sz val="11"/>
      <color theme="1"/>
      <name val="Calibri"/>
      <family val="2"/>
      <scheme val="minor"/>
    </font>
    <font>
      <b/>
      <sz val="16"/>
      <color rgb="FF165B33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2"/>
      <color rgb="FF165B33"/>
      <name val="Arial"/>
    </font>
    <font>
      <b/>
      <sz val="10"/>
      <color rgb="FF000000"/>
      <name val="Arial"/>
    </font>
    <font>
      <b/>
      <sz val="24"/>
      <color rgb="FFFFFFFF"/>
      <name val="Arial"/>
    </font>
    <font>
      <sz val="11"/>
      <color rgb="FFD4AF37"/>
      <name val="Arial"/>
    </font>
    <font>
      <b/>
      <sz val="10"/>
      <color rgb="FF165B33"/>
      <name val="Arial"/>
    </font>
    <font>
      <b/>
      <sz val="14"/>
      <color rgb="FF0000FF"/>
      <name val="Arial"/>
    </font>
    <font>
      <i/>
      <sz val="9"/>
      <color rgb="FF7F7F7F"/>
      <name val="Arial"/>
    </font>
    <font>
      <i/>
      <sz val="9"/>
      <color rgb="FFFFFFFF"/>
      <name val="Arial"/>
    </font>
    <font>
      <b/>
      <sz val="11"/>
      <color rgb="FFFFFFFF"/>
      <name val="Arial"/>
    </font>
    <font>
      <b/>
      <sz val="10"/>
      <color rgb="FF0B3D2E"/>
      <name val="Arial"/>
    </font>
    <font>
      <b/>
      <sz val="24"/>
      <color rgb="FF0B3D2E"/>
      <name val="Arial"/>
    </font>
    <font>
      <i/>
      <sz val="9"/>
      <color rgb="FF0B3D2E"/>
      <name val="Arial"/>
    </font>
    <font>
      <b/>
      <sz val="11"/>
      <color rgb="FF0B3D2E"/>
      <name val="Arial"/>
    </font>
    <font>
      <b/>
      <sz val="9"/>
      <color rgb="FF0B3D2E"/>
      <name val="Arial"/>
    </font>
    <font>
      <b/>
      <sz val="9"/>
      <color rgb="FFFFFFFF"/>
      <name val="Arial"/>
    </font>
    <font>
      <b/>
      <sz val="10"/>
      <color rgb="FFC8102E"/>
      <name val="Arial"/>
    </font>
    <font>
      <b/>
      <sz val="12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65B33"/>
      </patternFill>
    </fill>
    <fill>
      <patternFill patternType="solid">
        <fgColor rgb="FFC8102E"/>
      </patternFill>
    </fill>
    <fill>
      <patternFill patternType="solid">
        <fgColor rgb="FFFFF8EE"/>
      </patternFill>
    </fill>
    <fill>
      <patternFill patternType="solid">
        <fgColor rgb="FF0B3D2E"/>
      </patternFill>
    </fill>
    <fill>
      <patternFill patternType="solid">
        <fgColor rgb="FFD4AF37"/>
      </patternFill>
    </fill>
    <fill>
      <patternFill patternType="solid">
        <fgColor rgb="FFFFF2CC"/>
      </patternFill>
    </fill>
    <fill>
      <patternFill patternType="solid">
        <fgColor rgb="FF8B0A1E"/>
      </patternFill>
    </fill>
    <fill>
      <patternFill patternType="solid">
        <fgColor rgb="FFFFFFFF"/>
      </patternFill>
    </fill>
    <fill>
      <patternFill patternType="solid">
        <fgColor rgb="FFFBEFEF"/>
      </patternFill>
    </fill>
    <fill>
      <patternFill patternType="solid">
        <fgColor rgb="FFF2F8F4"/>
      </patternFill>
    </fill>
  </fills>
  <borders count="6">
    <border>
      <left/>
      <right/>
      <top/>
      <bottom/>
      <diagonal/>
    </border>
    <border>
      <left style="medium">
        <color rgb="FFC8102E"/>
      </left>
      <right style="medium">
        <color rgb="FFC8102E"/>
      </right>
      <top style="medium">
        <color rgb="FFC8102E"/>
      </top>
      <bottom style="medium">
        <color rgb="FFC8102E"/>
      </bottom>
      <diagonal/>
    </border>
    <border>
      <left style="thick">
        <color rgb="FFFFF8EE"/>
      </left>
      <right style="thick">
        <color rgb="FFFFF8EE"/>
      </right>
      <top/>
      <bottom/>
      <diagonal/>
    </border>
    <border>
      <left style="thick">
        <color rgb="FFFFF8EE"/>
      </left>
      <right/>
      <top/>
      <bottom/>
      <diagonal/>
    </border>
    <border>
      <left/>
      <right style="thick">
        <color rgb="FFFFF8EE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1" fillId="7" borderId="1" xfId="0" applyFont="1" applyFill="1" applyBorder="1" applyAlignment="1">
      <alignment horizontal="center" vertical="center"/>
    </xf>
    <xf numFmtId="164" fontId="14" fillId="3" borderId="4" xfId="0" applyNumberFormat="1" applyFont="1" applyFill="1" applyBorder="1" applyAlignment="1">
      <alignment horizontal="right" vertical="center" indent="1"/>
    </xf>
    <xf numFmtId="165" fontId="14" fillId="2" borderId="4" xfId="0" applyNumberFormat="1" applyFont="1" applyFill="1" applyBorder="1" applyAlignment="1">
      <alignment horizontal="right" vertical="center" indent="1"/>
    </xf>
    <xf numFmtId="165" fontId="18" fillId="6" borderId="4" xfId="0" applyNumberFormat="1" applyFont="1" applyFill="1" applyBorder="1" applyAlignment="1">
      <alignment horizontal="right" vertical="center" indent="1"/>
    </xf>
    <xf numFmtId="1" fontId="14" fillId="3" borderId="4" xfId="0" applyNumberFormat="1" applyFont="1" applyFill="1" applyBorder="1" applyAlignment="1">
      <alignment horizontal="right" vertical="center" indent="1"/>
    </xf>
    <xf numFmtId="1" fontId="14" fillId="2" borderId="4" xfId="0" applyNumberFormat="1" applyFont="1" applyFill="1" applyBorder="1" applyAlignment="1">
      <alignment horizontal="right" vertical="center" indent="1"/>
    </xf>
    <xf numFmtId="1" fontId="18" fillId="6" borderId="4" xfId="0" applyNumberFormat="1" applyFont="1" applyFill="1" applyBorder="1" applyAlignment="1">
      <alignment horizontal="right" vertical="center" indent="1"/>
    </xf>
    <xf numFmtId="165" fontId="14" fillId="5" borderId="4" xfId="0" applyNumberFormat="1" applyFont="1" applyFill="1" applyBorder="1" applyAlignment="1">
      <alignment horizontal="right" vertical="center" indent="1"/>
    </xf>
    <xf numFmtId="164" fontId="14" fillId="2" borderId="4" xfId="0" applyNumberFormat="1" applyFont="1" applyFill="1" applyBorder="1" applyAlignment="1">
      <alignment horizontal="right" vertical="center" indent="1"/>
    </xf>
    <xf numFmtId="165" fontId="14" fillId="3" borderId="4" xfId="0" applyNumberFormat="1" applyFont="1" applyFill="1" applyBorder="1" applyAlignment="1">
      <alignment horizontal="right" vertical="center" indent="1"/>
    </xf>
    <xf numFmtId="1" fontId="14" fillId="8" borderId="4" xfId="0" applyNumberFormat="1" applyFont="1" applyFill="1" applyBorder="1" applyAlignment="1">
      <alignment horizontal="right" vertical="center" indent="1"/>
    </xf>
    <xf numFmtId="0" fontId="0" fillId="2" borderId="0" xfId="0" applyFill="1"/>
    <xf numFmtId="1" fontId="14" fillId="5" borderId="4" xfId="0" applyNumberFormat="1" applyFont="1" applyFill="1" applyBorder="1" applyAlignment="1">
      <alignment horizontal="right" vertical="center" indent="1"/>
    </xf>
    <xf numFmtId="0" fontId="0" fillId="3" borderId="0" xfId="0" applyFill="1"/>
    <xf numFmtId="0" fontId="20" fillId="5" borderId="0" xfId="0" applyFont="1" applyFill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2" borderId="5" xfId="0" applyFont="1" applyFill="1" applyBorder="1" applyAlignment="1">
      <alignment horizontal="center"/>
    </xf>
    <xf numFmtId="0" fontId="3" fillId="3" borderId="0" xfId="0" applyFont="1" applyFill="1"/>
    <xf numFmtId="0" fontId="5" fillId="11" borderId="5" xfId="0" applyFont="1" applyFill="1" applyBorder="1" applyAlignment="1">
      <alignment horizontal="center" vertical="top" wrapText="1"/>
    </xf>
    <xf numFmtId="0" fontId="5" fillId="11" borderId="5" xfId="0" applyFont="1" applyFill="1" applyBorder="1" applyAlignment="1">
      <alignment horizontal="left" vertical="top" wrapText="1"/>
    </xf>
    <xf numFmtId="0" fontId="5" fillId="9" borderId="5" xfId="0" applyFont="1" applyFill="1" applyBorder="1" applyAlignment="1">
      <alignment horizontal="center" vertical="top" wrapText="1"/>
    </xf>
    <xf numFmtId="0" fontId="5" fillId="9" borderId="5" xfId="0" applyFont="1" applyFill="1" applyBorder="1" applyAlignment="1">
      <alignment horizontal="left" vertical="top" wrapText="1"/>
    </xf>
    <xf numFmtId="0" fontId="7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14" fontId="4" fillId="0" borderId="0" xfId="0" applyNumberFormat="1" applyFont="1"/>
    <xf numFmtId="0" fontId="3" fillId="2" borderId="0" xfId="0" applyFont="1" applyFill="1" applyAlignment="1">
      <alignment horizontal="center"/>
    </xf>
    <xf numFmtId="0" fontId="6" fillId="0" borderId="0" xfId="0" applyFont="1"/>
    <xf numFmtId="0" fontId="3" fillId="3" borderId="0" xfId="0" applyFont="1" applyFill="1" applyAlignment="1">
      <alignment horizontal="center" wrapText="1"/>
    </xf>
    <xf numFmtId="166" fontId="5" fillId="0" borderId="0" xfId="0" applyNumberFormat="1" applyFont="1"/>
    <xf numFmtId="167" fontId="5" fillId="0" borderId="0" xfId="0" applyNumberFormat="1" applyFont="1"/>
    <xf numFmtId="3" fontId="5" fillId="0" borderId="0" xfId="0" applyNumberFormat="1" applyFont="1"/>
    <xf numFmtId="1" fontId="5" fillId="0" borderId="0" xfId="0" applyNumberFormat="1" applyFont="1"/>
    <xf numFmtId="0" fontId="22" fillId="3" borderId="0" xfId="0" applyFont="1" applyFill="1" applyAlignment="1">
      <alignment horizontal="center" vertical="center"/>
    </xf>
    <xf numFmtId="0" fontId="0" fillId="3" borderId="0" xfId="0" applyFill="1"/>
    <xf numFmtId="164" fontId="8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20" fillId="8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5" fillId="10" borderId="5" xfId="0" applyFont="1" applyFill="1" applyBorder="1" applyAlignment="1">
      <alignment horizontal="center" vertical="center"/>
    </xf>
    <xf numFmtId="0" fontId="0" fillId="10" borderId="5" xfId="0" applyFill="1" applyBorder="1"/>
    <xf numFmtId="0" fontId="5" fillId="10" borderId="5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0" fontId="20" fillId="5" borderId="0" xfId="0" applyFont="1" applyFill="1" applyAlignment="1">
      <alignment horizontal="center" vertical="center" wrapText="1"/>
    </xf>
    <xf numFmtId="0" fontId="0" fillId="5" borderId="0" xfId="0" applyFill="1"/>
    <xf numFmtId="3" fontId="5" fillId="10" borderId="5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center" indent="1"/>
    </xf>
    <xf numFmtId="0" fontId="0" fillId="9" borderId="5" xfId="0" applyFill="1" applyBorder="1"/>
    <xf numFmtId="3" fontId="3" fillId="2" borderId="0" xfId="0" applyNumberFormat="1" applyFont="1" applyFill="1" applyAlignment="1">
      <alignment horizontal="center" vertical="center"/>
    </xf>
    <xf numFmtId="3" fontId="10" fillId="9" borderId="5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/>
    <xf numFmtId="3" fontId="5" fillId="9" borderId="5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 indent="1"/>
    </xf>
    <xf numFmtId="0" fontId="0" fillId="3" borderId="3" xfId="0" applyFill="1" applyBorder="1"/>
    <xf numFmtId="0" fontId="7" fillId="9" borderId="5" xfId="0" applyFont="1" applyFill="1" applyBorder="1" applyAlignment="1">
      <alignment horizontal="left" vertical="center" indent="1"/>
    </xf>
    <xf numFmtId="164" fontId="16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15" fillId="6" borderId="2" xfId="0" applyFont="1" applyFill="1" applyBorder="1" applyAlignment="1">
      <alignment horizontal="center" vertical="center"/>
    </xf>
    <xf numFmtId="167" fontId="5" fillId="9" borderId="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0" fillId="0" borderId="0" xfId="0"/>
    <xf numFmtId="0" fontId="18" fillId="6" borderId="0" xfId="0" applyFont="1" applyFill="1" applyAlignment="1">
      <alignment horizontal="left" vertical="center" indent="1"/>
    </xf>
    <xf numFmtId="0" fontId="0" fillId="6" borderId="0" xfId="0" applyFill="1"/>
    <xf numFmtId="0" fontId="5" fillId="9" borderId="5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 indent="1"/>
    </xf>
    <xf numFmtId="0" fontId="0" fillId="2" borderId="3" xfId="0" applyFill="1" applyBorder="1"/>
    <xf numFmtId="0" fontId="0" fillId="6" borderId="0" xfId="0" applyFill="1" applyAlignment="1">
      <alignment horizontal="center" vertical="center"/>
    </xf>
    <xf numFmtId="0" fontId="10" fillId="4" borderId="0" xfId="0" applyFont="1" applyFill="1" applyAlignment="1">
      <alignment horizontal="right" vertical="center"/>
    </xf>
    <xf numFmtId="0" fontId="13" fillId="5" borderId="3" xfId="0" applyFont="1" applyFill="1" applyBorder="1" applyAlignment="1">
      <alignment horizontal="left" vertical="center" indent="1"/>
    </xf>
    <xf numFmtId="0" fontId="0" fillId="5" borderId="3" xfId="0" applyFill="1" applyBorder="1"/>
    <xf numFmtId="0" fontId="3" fillId="2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14" fillId="3" borderId="0" xfId="0" applyFont="1" applyFill="1" applyAlignment="1">
      <alignment horizontal="left" vertical="center" indent="1"/>
    </xf>
    <xf numFmtId="0" fontId="20" fillId="3" borderId="2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left" vertical="center" indent="1"/>
    </xf>
    <xf numFmtId="0" fontId="0" fillId="6" borderId="3" xfId="0" applyFill="1" applyBorder="1"/>
    <xf numFmtId="0" fontId="7" fillId="10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 indent="1"/>
    </xf>
    <xf numFmtId="0" fontId="0" fillId="8" borderId="3" xfId="0" applyFill="1" applyBorder="1"/>
    <xf numFmtId="0" fontId="2" fillId="4" borderId="0" xfId="0" applyFont="1" applyFill="1" applyAlignment="1">
      <alignment horizontal="left" vertical="center" indent="1"/>
    </xf>
    <xf numFmtId="0" fontId="0" fillId="4" borderId="0" xfId="0" applyFill="1"/>
    <xf numFmtId="3" fontId="8" fillId="3" borderId="2" xfId="0" applyNumberFormat="1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left" vertical="center" indent="1"/>
    </xf>
    <xf numFmtId="167" fontId="5" fillId="10" borderId="5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 indent="1"/>
    </xf>
    <xf numFmtId="3" fontId="10" fillId="10" borderId="5" xfId="0" applyNumberFormat="1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color rgb="FFC00000"/>
        <name val="Arial"/>
      </font>
      <fill>
        <patternFill patternType="solid">
          <bgColor rgb="FFF8CBAD"/>
        </patternFill>
      </fill>
    </dxf>
    <dxf>
      <font>
        <b/>
        <color rgb="FF375623"/>
        <name val="Arial"/>
      </font>
    </dxf>
    <dxf>
      <font>
        <b/>
        <color rgb="FF7F6000"/>
        <name val="Arial"/>
      </font>
      <fill>
        <patternFill patternType="solid">
          <bgColor rgb="FFFFE699"/>
        </patternFill>
      </fill>
    </dxf>
    <dxf>
      <font>
        <b/>
        <color rgb="FFC00000"/>
        <name val="Arial"/>
      </font>
      <fill>
        <patternFill patternType="solid">
          <bgColor rgb="FFF8CBAD"/>
        </patternFill>
      </fill>
    </dxf>
    <dxf>
      <font>
        <b/>
        <color rgb="FF7F6000"/>
        <name val="Arial"/>
      </font>
      <fill>
        <patternFill patternType="solid">
          <bgColor rgb="FFFFE699"/>
        </patternFill>
      </fill>
    </dxf>
    <dxf>
      <font>
        <b/>
        <color rgb="FFC00000"/>
        <name val="Arial"/>
      </font>
      <fill>
        <patternFill patternType="solid">
          <bgColor rgb="FFF8CBAD"/>
        </patternFill>
      </fill>
    </dxf>
    <dxf>
      <font>
        <color rgb="FFFFFFFF"/>
        <name val="Arial"/>
      </font>
      <fill>
        <patternFill patternType="solid">
          <bgColor rgb="FFC8102E"/>
        </patternFill>
      </fill>
    </dxf>
    <dxf>
      <font>
        <b/>
        <color rgb="FF165B33"/>
        <name val="Arial"/>
      </font>
    </dxf>
    <dxf>
      <font>
        <b/>
        <color rgb="FFC00000"/>
        <name val="Arial"/>
      </font>
      <fill>
        <patternFill patternType="solid">
          <bgColor rgb="FFFDE9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Datos!$C$3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C8102E"/>
            </a:solidFill>
            <a:ln>
              <a:solidFill>
                <a:srgbClr val="C8102E"/>
              </a:solidFill>
              <a:prstDash val="solid"/>
            </a:ln>
          </c:spPr>
          <c:invertIfNegative val="1"/>
          <c:cat>
            <c:strRef>
              <c:f>Datos!$A$4:$A$15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Datos!$C$4:$C$15</c:f>
              <c:numCache>
                <c:formatCode>\$#,##0.00;\(\$#,##0.00\);\-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477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8102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CC-4227-8857-5254220A4DE7}"/>
            </c:ext>
          </c:extLst>
        </c:ser>
        <c:ser>
          <c:idx val="1"/>
          <c:order val="1"/>
          <c:tx>
            <c:strRef>
              <c:f>Datos!$G$3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rgbClr val="165B33"/>
            </a:solidFill>
            <a:ln>
              <a:solidFill>
                <a:srgbClr val="165B33"/>
              </a:solidFill>
              <a:prstDash val="solid"/>
            </a:ln>
          </c:spPr>
          <c:invertIfNegative val="1"/>
          <c:cat>
            <c:strRef>
              <c:f>Datos!$A$4:$A$15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Datos!$G$4:$G$15</c:f>
              <c:numCache>
                <c:formatCode>\$#,##0.00;\(\$#,##0.00\);\-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180.25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65B3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CC-4227-8857-5254220A4DE7}"/>
            </c:ext>
          </c:extLst>
        </c:ser>
        <c:ser>
          <c:idx val="2"/>
          <c:order val="2"/>
          <c:tx>
            <c:strRef>
              <c:f>Datos!$J$3</c:f>
              <c:strCache>
                <c:ptCount val="1"/>
                <c:pt idx="0">
                  <c:v>Retiros</c:v>
                </c:pt>
              </c:strCache>
            </c:strRef>
          </c:tx>
          <c:spPr>
            <a:solidFill>
              <a:srgbClr val="D4AF37"/>
            </a:solidFill>
            <a:ln>
              <a:solidFill>
                <a:srgbClr val="D4AF37"/>
              </a:solidFill>
              <a:prstDash val="solid"/>
            </a:ln>
          </c:spPr>
          <c:invertIfNegative val="1"/>
          <c:cat>
            <c:strRef>
              <c:f>Datos!$A$4:$A$15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Datos!$J$4:$J$15</c:f>
              <c:numCache>
                <c:formatCode>\$#,##0.00;\(\$#,##0.00\);\-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4AF3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ECC-4227-8857-5254220A4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  <a:prstDash val="solid"/>
            </a:ln>
          </c:spPr>
        </c:majorGridlines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spPr>
    <a:solidFill>
      <a:srgbClr val="FFFFFF"/>
    </a:solidFill>
    <a:ln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Datos!$B$19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165B33"/>
            </a:solidFill>
            <a:ln>
              <a:solidFill>
                <a:srgbClr val="165B33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Datos!$A$20:$A$25</c:f>
              <c:strCache>
                <c:ptCount val="6"/>
                <c:pt idx="0">
                  <c:v>WhatsApp</c:v>
                </c:pt>
                <c:pt idx="1">
                  <c:v>Instagram</c:v>
                </c:pt>
                <c:pt idx="2">
                  <c:v>Facebook</c:v>
                </c:pt>
                <c:pt idx="3">
                  <c:v>Sitio web</c:v>
                </c:pt>
                <c:pt idx="4">
                  <c:v>Marketplace</c:v>
                </c:pt>
                <c:pt idx="5">
                  <c:v>Otro</c:v>
                </c:pt>
              </c:strCache>
            </c:strRef>
          </c:cat>
          <c:val>
            <c:numRef>
              <c:f>Datos!$B$20:$B$25</c:f>
              <c:numCache>
                <c:formatCode>\$#,##0.00;\(\$#,##0.00\);\-</c:formatCode>
                <c:ptCount val="6"/>
                <c:pt idx="0">
                  <c:v>168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65B3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E6-4101-A3D7-146C5F59719A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>
              <a:solidFill>
                <a:srgbClr val="E6E6E6"/>
              </a:solidFill>
              <a:prstDash val="solid"/>
            </a:ln>
          </c:spPr>
        </c:majorGridlines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Datos!$B$28</c:f>
              <c:strCache>
                <c:ptCount val="1"/>
                <c:pt idx="0">
                  <c:v>Monto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8102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35-41ED-BD0B-9F7A56C3442D}"/>
              </c:ext>
            </c:extLst>
          </c:dPt>
          <c:dPt>
            <c:idx val="1"/>
            <c:bubble3D val="0"/>
            <c:spPr>
              <a:solidFill>
                <a:srgbClr val="165B33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35-41ED-BD0B-9F7A56C3442D}"/>
              </c:ext>
            </c:extLst>
          </c:dPt>
          <c:dPt>
            <c:idx val="2"/>
            <c:bubble3D val="0"/>
            <c:spPr>
              <a:solidFill>
                <a:srgbClr val="D4AF3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35-41ED-BD0B-9F7A56C3442D}"/>
              </c:ext>
            </c:extLst>
          </c:dPt>
          <c:dPt>
            <c:idx val="3"/>
            <c:bubble3D val="0"/>
            <c:spPr>
              <a:solidFill>
                <a:srgbClr val="0B3D2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235-41ED-BD0B-9F7A56C3442D}"/>
              </c:ext>
            </c:extLst>
          </c:dPt>
          <c:dPt>
            <c:idx val="4"/>
            <c:bubble3D val="0"/>
            <c:spPr>
              <a:solidFill>
                <a:srgbClr val="E8A0A0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235-41ED-BD0B-9F7A56C3442D}"/>
              </c:ext>
            </c:extLst>
          </c:dPt>
          <c:dPt>
            <c:idx val="5"/>
            <c:bubble3D val="0"/>
            <c:spPr>
              <a:solidFill>
                <a:srgbClr val="A8D5BA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235-41ED-BD0B-9F7A56C3442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Datos!$A$29:$A$34</c:f>
              <c:strCache>
                <c:ptCount val="6"/>
                <c:pt idx="0">
                  <c:v>Publicidad</c:v>
                </c:pt>
                <c:pt idx="1">
                  <c:v>Envíos</c:v>
                </c:pt>
                <c:pt idx="2">
                  <c:v>Empaque</c:v>
                </c:pt>
                <c:pt idx="3">
                  <c:v>Comisiones</c:v>
                </c:pt>
                <c:pt idx="4">
                  <c:v>Herramientas / apps</c:v>
                </c:pt>
                <c:pt idx="5">
                  <c:v>Otros</c:v>
                </c:pt>
              </c:strCache>
            </c:strRef>
          </c:cat>
          <c:val>
            <c:numRef>
              <c:f>Datos!$B$29:$B$34</c:f>
              <c:numCache>
                <c:formatCode>\$#,##0.00;\(\$#,##0.00\);\-</c:formatCode>
                <c:ptCount val="6"/>
                <c:pt idx="0">
                  <c:v>5</c:v>
                </c:pt>
                <c:pt idx="1">
                  <c:v>0</c:v>
                </c:pt>
                <c:pt idx="2">
                  <c:v>4.5</c:v>
                </c:pt>
                <c:pt idx="3">
                  <c:v>0</c:v>
                </c:pt>
                <c:pt idx="4">
                  <c:v>0</c:v>
                </c:pt>
                <c:pt idx="5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235-41ED-BD0B-9F7A56C344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spPr>
    <a:solidFill>
      <a:srgbClr val="FFFFFF"/>
    </a:solidFill>
    <a:ln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24</xdr:row>
      <xdr:rowOff>0</xdr:rowOff>
    </xdr:from>
    <xdr:ext cx="7308000" cy="316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4824000" cy="316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41</xdr:row>
      <xdr:rowOff>0</xdr:rowOff>
    </xdr:from>
    <xdr:ext cx="4824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ctos" displayName="tblProductos" ref="A4:N20">
  <autoFilter ref="A4:N20" xr:uid="{00000000-0009-0000-0100-000001000000}"/>
  <tableColumns count="14">
    <tableColumn id="1" xr3:uid="{00000000-0010-0000-0000-000001000000}" name="SKU"/>
    <tableColumn id="2" xr3:uid="{00000000-0010-0000-0000-000002000000}" name="Producto"/>
    <tableColumn id="3" xr3:uid="{00000000-0010-0000-0000-000003000000}" name="Talla"/>
    <tableColumn id="4" xr3:uid="{00000000-0010-0000-0000-000004000000}" name="Color"/>
    <tableColumn id="5" xr3:uid="{00000000-0010-0000-0000-000005000000}" name="Costo unitario"/>
    <tableColumn id="6" xr3:uid="{00000000-0010-0000-0000-000006000000}" name="Precio venta"/>
    <tableColumn id="7" xr3:uid="{00000000-0010-0000-0000-000007000000}" name="Stock inicial"/>
    <tableColumn id="8" xr3:uid="{00000000-0010-0000-0000-000008000000}" name="Stock mínimo"/>
    <tableColumn id="9" xr3:uid="{00000000-0010-0000-0000-000009000000}" name="Entradas">
      <calculatedColumnFormula>SUMIFS(tblCompras[Cantidad],tblCompras[SKU],tblProductos[[#This Row],[SKU]])</calculatedColumnFormula>
    </tableColumn>
    <tableColumn id="10" xr3:uid="{00000000-0010-0000-0000-00000A000000}" name="Salidas">
      <calculatedColumnFormula>SUMIFS(tblVentas[Cantidad],tblVentas[SKU],tblProductos[[#This Row],[SKU]])</calculatedColumnFormula>
    </tableColumn>
    <tableColumn id="11" xr3:uid="{00000000-0010-0000-0000-00000B000000}" name="Stock actual">
      <calculatedColumnFormula>tblProductos[[#This Row],[Stock inicial]]+tblProductos[[#This Row],[Entradas]]-tblProductos[[#This Row],[Salidas]]</calculatedColumnFormula>
    </tableColumn>
    <tableColumn id="12" xr3:uid="{00000000-0010-0000-0000-00000C000000}" name="Estado">
      <calculatedColumnFormula>IF(tblProductos[[#This Row],[SKU]]="","",IF(tblProductos[[#This Row],[Stock actual]]&lt;=0,"AGOTADO",IF(tblProductos[[#This Row],[Stock actual]]&lt;=tblProductos[[#This Row],[Stock mínimo]],"REPONER","OK")))</calculatedColumnFormula>
    </tableColumn>
    <tableColumn id="13" xr3:uid="{00000000-0010-0000-0000-00000D000000}" name="Valor inventario">
      <calculatedColumnFormula>tblProductos[[#This Row],[Stock actual]]*tblProductos[[#This Row],[Costo unitario]]</calculatedColumnFormula>
    </tableColumn>
    <tableColumn id="14" xr3:uid="{00000000-0010-0000-0000-00000E000000}" name="Margen">
      <calculatedColumnFormula>IF(tblProductos[[#This Row],[Precio venta]]=0,"",(tblProductos[[#This Row],[Precio venta]]-tblProductos[[#This Row],[Costo unitario]])/tblProductos[[#This Row],[Precio venta]])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mpras" displayName="tblCompras" ref="A4:G7">
  <autoFilter ref="A4:G7" xr:uid="{00000000-0009-0000-0100-000002000000}"/>
  <tableColumns count="7">
    <tableColumn id="1" xr3:uid="{00000000-0010-0000-0100-000001000000}" name="Fecha"/>
    <tableColumn id="2" xr3:uid="{00000000-0010-0000-0100-000002000000}" name="SKU"/>
    <tableColumn id="3" xr3:uid="{00000000-0010-0000-0100-000003000000}" name="Producto">
      <calculatedColumnFormula>IF(tblCompras[[#This Row],[SKU]]="","",IFERROR(INDEX(tblProductos[Producto],MATCH(tblCompras[[#This Row],[SKU]],tblProductos[SKU],0))&amp;" "&amp;INDEX(tblProductos[Talla],MATCH(tblCompras[[#This Row],[SKU]],tblProductos[SKU],0)),"SKU no existe"))</calculatedColumnFormula>
    </tableColumn>
    <tableColumn id="4" xr3:uid="{00000000-0010-0000-0100-000004000000}" name="Cantidad"/>
    <tableColumn id="5" xr3:uid="{00000000-0010-0000-0100-000005000000}" name="Costo unitario"/>
    <tableColumn id="6" xr3:uid="{00000000-0010-0000-0100-000006000000}" name="Total">
      <calculatedColumnFormula>IF(OR(tblCompras[[#This Row],[Cantidad]]="",tblCompras[[#This Row],[Costo unitario]]=""),"",tblCompras[[#This Row],[Cantidad]]*tblCompras[[#This Row],[Costo unitario]])</calculatedColumnFormula>
    </tableColumn>
    <tableColumn id="7" xr3:uid="{00000000-0010-0000-0100-000007000000}" name="Proveed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Ventas" displayName="tblVentas" ref="A4:N30">
  <autoFilter ref="A4:N30" xr:uid="{00000000-0009-0000-0100-000003000000}"/>
  <tableColumns count="14">
    <tableColumn id="1" xr3:uid="{00000000-0010-0000-0200-000001000000}" name="Fecha"/>
    <tableColumn id="2" xr3:uid="{00000000-0010-0000-0200-000002000000}" name="Pedido"/>
    <tableColumn id="3" xr3:uid="{00000000-0010-0000-0200-000003000000}" name="SKU"/>
    <tableColumn id="4" xr3:uid="{00000000-0010-0000-0200-000004000000}" name="Producto">
      <calculatedColumnFormula>IF(tblVentas[[#This Row],[SKU]]="","",IFERROR(INDEX(tblProductos[Producto],MATCH(tblVentas[[#This Row],[SKU]],tblProductos[SKU],0))&amp;" "&amp;INDEX(tblProductos[Talla],MATCH(tblVentas[[#This Row],[SKU]],tblProductos[SKU],0)),"SKU no existe"))</calculatedColumnFormula>
    </tableColumn>
    <tableColumn id="5" xr3:uid="{00000000-0010-0000-0200-000005000000}" name="Cantidad"/>
    <tableColumn id="6" xr3:uid="{00000000-0010-0000-0200-000006000000}" name="Precio unitario">
      <calculatedColumnFormula>IF(tblVentas[[#This Row],[SKU]]="","",IFERROR(INDEX(tblProductos[Precio venta],MATCH(tblVentas[[#This Row],[SKU]],tblProductos[SKU],0)),0))</calculatedColumnFormula>
    </tableColumn>
    <tableColumn id="7" xr3:uid="{00000000-0010-0000-0200-000007000000}" name="Descuento"/>
    <tableColumn id="8" xr3:uid="{00000000-0010-0000-0200-000008000000}" name="Total venta">
      <calculatedColumnFormula>IF(OR(tblVentas[[#This Row],[SKU]]="",tblVentas[[#This Row],[Cantidad]]=""),"",tblVentas[[#This Row],[Cantidad]]*tblVentas[[#This Row],[Precio unitario]]-tblVentas[[#This Row],[Descuento]])</calculatedColumnFormula>
    </tableColumn>
    <tableColumn id="9" xr3:uid="{00000000-0010-0000-0200-000009000000}" name="Costo">
      <calculatedColumnFormula>IF(OR(tblVentas[[#This Row],[SKU]]="",tblVentas[[#This Row],[Cantidad]]=""),"",tblVentas[[#This Row],[Cantidad]]*IFERROR(INDEX(tblProductos[Costo unitario],MATCH(tblVentas[[#This Row],[SKU]],tblProductos[SKU],0)),0))</calculatedColumnFormula>
    </tableColumn>
    <tableColumn id="10" xr3:uid="{00000000-0010-0000-0200-00000A000000}" name="Utilidad">
      <calculatedColumnFormula>IF(tblVentas[[#This Row],[Total venta]]="","",tblVentas[[#This Row],[Total venta]]-tblVentas[[#This Row],[Costo]])</calculatedColumnFormula>
    </tableColumn>
    <tableColumn id="11" xr3:uid="{00000000-0010-0000-0200-00000B000000}" name="Canal"/>
    <tableColumn id="12" xr3:uid="{00000000-0010-0000-0200-00000C000000}" name="Cliente"/>
    <tableColumn id="13" xr3:uid="{00000000-0010-0000-0200-00000D000000}" name="Estado"/>
    <tableColumn id="14" xr3:uid="{00000000-0010-0000-0200-00000E000000}" name="Alerta">
      <calculatedColumnFormula>IF(tblVentas[[#This Row],[SKU]]="","",IF(ISNA(MATCH(tblVentas[[#This Row],[SKU]],tblProductos[SKU],0)),"SKU no registrado",IF(INDEX(tblProductos[Stock actual],MATCH(tblVentas[[#This Row],[SKU]],tblProductos[SKU],0))&lt;0,"Stock insuficiente","")))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Gastos" displayName="tblGastos" ref="A4:D7">
  <autoFilter ref="A4:D7" xr:uid="{00000000-0009-0000-0100-000004000000}"/>
  <tableColumns count="4">
    <tableColumn id="1" xr3:uid="{00000000-0010-0000-0300-000001000000}" name="Fecha"/>
    <tableColumn id="2" xr3:uid="{00000000-0010-0000-0300-000002000000}" name="Concepto"/>
    <tableColumn id="3" xr3:uid="{00000000-0010-0000-0300-000003000000}" name="Categoría"/>
    <tableColumn id="4" xr3:uid="{00000000-0010-0000-0300-000004000000}" name="Mon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tiros" displayName="tblRetiros" ref="A4:D7">
  <autoFilter ref="A4:D7" xr:uid="{00000000-0009-0000-0100-000005000000}"/>
  <tableColumns count="4">
    <tableColumn id="1" xr3:uid="{00000000-0010-0000-0400-000001000000}" name="Fecha"/>
    <tableColumn id="2" xr3:uid="{00000000-0010-0000-0400-000002000000}" name="Concepto"/>
    <tableColumn id="3" xr3:uid="{00000000-0010-0000-0400-000003000000}" name="Motivo"/>
    <tableColumn id="4" xr3:uid="{00000000-0010-0000-0400-000004000000}" name="Mon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anales" displayName="tblCanales" ref="A4:A10">
  <autoFilter ref="A4:A10" xr:uid="{00000000-0009-0000-0100-000006000000}"/>
  <tableColumns count="1">
    <tableColumn id="1" xr3:uid="{00000000-0010-0000-0500-000001000000}" name="Can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ategorias" displayName="tblCategorias" ref="C4:C10">
  <autoFilter ref="C4:C10" xr:uid="{00000000-0009-0000-0100-000007000000}"/>
  <tableColumns count="1">
    <tableColumn id="3" xr3:uid="{00000000-0010-0000-0600-000003000000}" name="Categorí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Estados" displayName="tblEstados" ref="E4:E7">
  <autoFilter ref="E4:E7" xr:uid="{00000000-0009-0000-0100-000008000000}"/>
  <tableColumns count="1">
    <tableColumn id="5" xr3:uid="{00000000-0010-0000-0700-000005000000}" name="Estad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odelos" displayName="tblModelos" ref="G4:G7">
  <autoFilter ref="G4:G7" xr:uid="{00000000-0009-0000-0100-000009000000}"/>
  <tableColumns count="1">
    <tableColumn id="7" xr3:uid="{00000000-0010-0000-0800-000007000000}" name="Model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Motivos" displayName="tblMotivos" ref="I4:I7">
  <autoFilter ref="I4:I7" xr:uid="{00000000-0009-0000-0100-00000A000000}"/>
  <tableColumns count="1">
    <tableColumn id="9" xr3:uid="{00000000-0010-0000-0900-000009000000}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65B33"/>
      </a:accent1>
      <a:accent2>
        <a:srgbClr val="C8102E"/>
      </a:accent2>
      <a:accent3>
        <a:srgbClr val="D4AF37"/>
      </a:accent3>
      <a:accent4>
        <a:srgbClr val="0B3D2E"/>
      </a:accent4>
      <a:accent5>
        <a:srgbClr val="8B0A1E"/>
      </a:accent5>
      <a:accent6>
        <a:srgbClr val="7FB069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5B33"/>
  </sheetPr>
  <dimension ref="A1:D33"/>
  <sheetViews>
    <sheetView showGridLines="0" workbookViewId="0"/>
  </sheetViews>
  <sheetFormatPr baseColWidth="10" defaultColWidth="8.88671875" defaultRowHeight="14.4" x14ac:dyDescent="0.3"/>
  <cols>
    <col min="1" max="1" width="8" customWidth="1"/>
    <col min="2" max="2" width="18" customWidth="1"/>
    <col min="3" max="3" width="95" customWidth="1"/>
    <col min="4" max="4" width="20" customWidth="1"/>
  </cols>
  <sheetData>
    <row r="1" spans="1:4" ht="21" x14ac:dyDescent="0.4">
      <c r="A1" s="21" t="s">
        <v>0</v>
      </c>
    </row>
    <row r="2" spans="1:4" x14ac:dyDescent="0.3">
      <c r="A2" s="22" t="s">
        <v>1</v>
      </c>
    </row>
    <row r="4" spans="1:4" x14ac:dyDescent="0.3">
      <c r="A4" s="23" t="s">
        <v>2</v>
      </c>
      <c r="B4" s="23" t="s">
        <v>3</v>
      </c>
      <c r="C4" s="23" t="s">
        <v>4</v>
      </c>
      <c r="D4" s="23" t="s">
        <v>5</v>
      </c>
    </row>
    <row r="5" spans="1:4" x14ac:dyDescent="0.3">
      <c r="A5" s="24" t="s">
        <v>6</v>
      </c>
      <c r="B5" s="17"/>
      <c r="C5" s="17"/>
      <c r="D5" s="17"/>
    </row>
    <row r="6" spans="1:4" ht="26.4" x14ac:dyDescent="0.3">
      <c r="A6" s="25">
        <v>1</v>
      </c>
      <c r="B6" s="25" t="s">
        <v>7</v>
      </c>
      <c r="C6" s="26" t="s">
        <v>8</v>
      </c>
      <c r="D6" s="25" t="s">
        <v>9</v>
      </c>
    </row>
    <row r="7" spans="1:4" ht="26.4" x14ac:dyDescent="0.3">
      <c r="A7" s="27">
        <v>2</v>
      </c>
      <c r="B7" s="27" t="s">
        <v>7</v>
      </c>
      <c r="C7" s="28" t="s">
        <v>10</v>
      </c>
      <c r="D7" s="27" t="s">
        <v>11</v>
      </c>
    </row>
    <row r="8" spans="1:4" x14ac:dyDescent="0.3">
      <c r="A8" s="24" t="s">
        <v>12</v>
      </c>
      <c r="B8" s="17"/>
      <c r="C8" s="17"/>
      <c r="D8" s="17"/>
    </row>
    <row r="9" spans="1:4" ht="26.4" x14ac:dyDescent="0.3">
      <c r="A9" s="27">
        <v>3</v>
      </c>
      <c r="B9" s="27" t="s">
        <v>13</v>
      </c>
      <c r="C9" s="28" t="s">
        <v>14</v>
      </c>
      <c r="D9" s="27" t="s">
        <v>15</v>
      </c>
    </row>
    <row r="10" spans="1:4" x14ac:dyDescent="0.3">
      <c r="A10" s="25">
        <v>4</v>
      </c>
      <c r="B10" s="25" t="s">
        <v>13</v>
      </c>
      <c r="C10" s="26" t="s">
        <v>16</v>
      </c>
      <c r="D10" s="25" t="s">
        <v>15</v>
      </c>
    </row>
    <row r="11" spans="1:4" ht="26.4" x14ac:dyDescent="0.3">
      <c r="A11" s="27">
        <v>5</v>
      </c>
      <c r="B11" s="27" t="s">
        <v>17</v>
      </c>
      <c r="C11" s="28" t="s">
        <v>18</v>
      </c>
      <c r="D11" s="27" t="s">
        <v>15</v>
      </c>
    </row>
    <row r="12" spans="1:4" ht="39.6" x14ac:dyDescent="0.3">
      <c r="A12" s="25">
        <v>6</v>
      </c>
      <c r="B12" s="25" t="s">
        <v>19</v>
      </c>
      <c r="C12" s="26" t="s">
        <v>20</v>
      </c>
      <c r="D12" s="25" t="s">
        <v>15</v>
      </c>
    </row>
    <row r="13" spans="1:4" ht="26.4" x14ac:dyDescent="0.3">
      <c r="A13" s="27">
        <v>7</v>
      </c>
      <c r="B13" s="27" t="s">
        <v>21</v>
      </c>
      <c r="C13" s="28" t="s">
        <v>22</v>
      </c>
      <c r="D13" s="27" t="s">
        <v>15</v>
      </c>
    </row>
    <row r="14" spans="1:4" ht="26.4" x14ac:dyDescent="0.3">
      <c r="A14" s="25">
        <v>8</v>
      </c>
      <c r="B14" s="25" t="s">
        <v>23</v>
      </c>
      <c r="C14" s="26" t="s">
        <v>24</v>
      </c>
      <c r="D14" s="25" t="s">
        <v>25</v>
      </c>
    </row>
    <row r="15" spans="1:4" ht="26.4" x14ac:dyDescent="0.3">
      <c r="A15" s="27">
        <v>9</v>
      </c>
      <c r="B15" s="27" t="s">
        <v>26</v>
      </c>
      <c r="C15" s="28" t="s">
        <v>27</v>
      </c>
      <c r="D15" s="27" t="s">
        <v>28</v>
      </c>
    </row>
    <row r="16" spans="1:4" ht="26.4" x14ac:dyDescent="0.3">
      <c r="A16" s="25">
        <v>10</v>
      </c>
      <c r="B16" s="25" t="s">
        <v>29</v>
      </c>
      <c r="C16" s="26" t="s">
        <v>30</v>
      </c>
      <c r="D16" s="25" t="s">
        <v>31</v>
      </c>
    </row>
    <row r="17" spans="1:4" x14ac:dyDescent="0.3">
      <c r="A17" s="24" t="s">
        <v>32</v>
      </c>
      <c r="B17" s="17"/>
      <c r="C17" s="17"/>
      <c r="D17" s="17"/>
    </row>
    <row r="18" spans="1:4" ht="26.4" x14ac:dyDescent="0.3">
      <c r="A18" s="25">
        <v>11</v>
      </c>
      <c r="B18" s="25" t="s">
        <v>33</v>
      </c>
      <c r="C18" s="26" t="s">
        <v>34</v>
      </c>
      <c r="D18" s="25" t="s">
        <v>35</v>
      </c>
    </row>
    <row r="19" spans="1:4" ht="39.6" x14ac:dyDescent="0.3">
      <c r="A19" s="27">
        <v>12</v>
      </c>
      <c r="B19" s="27" t="s">
        <v>33</v>
      </c>
      <c r="C19" s="28" t="s">
        <v>36</v>
      </c>
      <c r="D19" s="27" t="s">
        <v>37</v>
      </c>
    </row>
    <row r="20" spans="1:4" ht="26.4" x14ac:dyDescent="0.3">
      <c r="A20" s="25">
        <v>13</v>
      </c>
      <c r="B20" s="25" t="s">
        <v>33</v>
      </c>
      <c r="C20" s="26" t="s">
        <v>38</v>
      </c>
      <c r="D20" s="25" t="s">
        <v>39</v>
      </c>
    </row>
    <row r="21" spans="1:4" x14ac:dyDescent="0.3">
      <c r="A21" s="24" t="s">
        <v>40</v>
      </c>
      <c r="B21" s="17"/>
      <c r="C21" s="17"/>
      <c r="D21" s="17"/>
    </row>
    <row r="22" spans="1:4" ht="26.4" x14ac:dyDescent="0.3">
      <c r="A22" s="25">
        <v>14</v>
      </c>
      <c r="B22" s="25" t="s">
        <v>41</v>
      </c>
      <c r="C22" s="26" t="s">
        <v>42</v>
      </c>
      <c r="D22" s="25" t="s">
        <v>39</v>
      </c>
    </row>
    <row r="23" spans="1:4" ht="26.4" x14ac:dyDescent="0.3">
      <c r="A23" s="27">
        <v>15</v>
      </c>
      <c r="B23" s="27" t="s">
        <v>43</v>
      </c>
      <c r="C23" s="28" t="s">
        <v>44</v>
      </c>
      <c r="D23" s="27" t="s">
        <v>39</v>
      </c>
    </row>
    <row r="24" spans="1:4" x14ac:dyDescent="0.3">
      <c r="A24" s="25">
        <v>16</v>
      </c>
      <c r="B24" s="25" t="s">
        <v>41</v>
      </c>
      <c r="C24" s="26" t="s">
        <v>45</v>
      </c>
      <c r="D24" s="25" t="s">
        <v>46</v>
      </c>
    </row>
    <row r="25" spans="1:4" x14ac:dyDescent="0.3">
      <c r="A25" s="24" t="s">
        <v>47</v>
      </c>
      <c r="B25" s="17"/>
      <c r="C25" s="17"/>
      <c r="D25" s="17"/>
    </row>
    <row r="26" spans="1:4" ht="39.6" x14ac:dyDescent="0.3">
      <c r="A26" s="25" t="s">
        <v>48</v>
      </c>
      <c r="B26" s="25" t="s">
        <v>49</v>
      </c>
      <c r="C26" s="26" t="s">
        <v>50</v>
      </c>
      <c r="D26" s="25" t="s">
        <v>46</v>
      </c>
    </row>
    <row r="27" spans="1:4" ht="26.4" x14ac:dyDescent="0.3">
      <c r="A27" s="27" t="s">
        <v>48</v>
      </c>
      <c r="B27" s="27" t="s">
        <v>49</v>
      </c>
      <c r="C27" s="28" t="s">
        <v>51</v>
      </c>
      <c r="D27" s="27" t="s">
        <v>46</v>
      </c>
    </row>
    <row r="28" spans="1:4" ht="26.4" x14ac:dyDescent="0.3">
      <c r="A28" s="25" t="s">
        <v>48</v>
      </c>
      <c r="B28" s="25" t="s">
        <v>49</v>
      </c>
      <c r="C28" s="26" t="s">
        <v>52</v>
      </c>
      <c r="D28" s="25" t="s">
        <v>46</v>
      </c>
    </row>
    <row r="29" spans="1:4" x14ac:dyDescent="0.3">
      <c r="A29" s="27" t="s">
        <v>48</v>
      </c>
      <c r="B29" s="27" t="s">
        <v>49</v>
      </c>
      <c r="C29" s="28" t="s">
        <v>53</v>
      </c>
      <c r="D29" s="27" t="s">
        <v>54</v>
      </c>
    </row>
    <row r="30" spans="1:4" ht="26.4" x14ac:dyDescent="0.3">
      <c r="A30" s="25" t="s">
        <v>48</v>
      </c>
      <c r="B30" s="25" t="s">
        <v>49</v>
      </c>
      <c r="C30" s="26" t="s">
        <v>55</v>
      </c>
      <c r="D30" s="25" t="s">
        <v>56</v>
      </c>
    </row>
    <row r="31" spans="1:4" ht="26.4" x14ac:dyDescent="0.3">
      <c r="A31" s="27" t="s">
        <v>48</v>
      </c>
      <c r="B31" s="27" t="s">
        <v>39</v>
      </c>
      <c r="C31" s="28" t="s">
        <v>57</v>
      </c>
      <c r="D31" s="27" t="s">
        <v>58</v>
      </c>
    </row>
    <row r="33" spans="1:3" x14ac:dyDescent="0.3">
      <c r="A33" s="29" t="s">
        <v>59</v>
      </c>
      <c r="C33" s="22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102E"/>
    <pageSetUpPr fitToPage="1"/>
  </sheetPr>
  <dimension ref="A1:Q68"/>
  <sheetViews>
    <sheetView showGridLines="0" topLeftCell="A11" workbookViewId="0">
      <selection activeCell="B19" sqref="B19:F19"/>
    </sheetView>
  </sheetViews>
  <sheetFormatPr baseColWidth="10" defaultColWidth="8.88671875" defaultRowHeight="14.4" x14ac:dyDescent="0.3"/>
  <cols>
    <col min="1" max="1" width="2.44140625" customWidth="1"/>
    <col min="2" max="16" width="11.44140625" customWidth="1"/>
    <col min="17" max="17" width="2.44140625" customWidth="1"/>
  </cols>
  <sheetData>
    <row r="1" spans="1:17" ht="24" customHeight="1" x14ac:dyDescent="0.3">
      <c r="A1" s="1"/>
      <c r="B1" s="75" t="s">
        <v>61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1"/>
    </row>
    <row r="2" spans="1:17" ht="24" customHeight="1" x14ac:dyDescent="0.3">
      <c r="A2" s="1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1"/>
    </row>
    <row r="3" spans="1:17" ht="19.95" customHeight="1" x14ac:dyDescent="0.3">
      <c r="A3" s="1"/>
      <c r="B3" s="76" t="s">
        <v>62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1"/>
    </row>
    <row r="4" spans="1:17" ht="4.95" customHeight="1" x14ac:dyDescent="0.3">
      <c r="A4" s="1"/>
      <c r="B4" s="85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1"/>
    </row>
    <row r="5" spans="1:17" ht="7.9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2.2" customHeight="1" x14ac:dyDescent="0.3">
      <c r="A6" s="1"/>
      <c r="B6" s="86" t="s">
        <v>63</v>
      </c>
      <c r="C6" s="78"/>
      <c r="D6" s="4">
        <v>2026</v>
      </c>
      <c r="E6" s="77" t="s">
        <v>64</v>
      </c>
      <c r="F6" s="78"/>
      <c r="G6" s="78"/>
      <c r="H6" s="78"/>
      <c r="I6" s="1"/>
      <c r="J6" s="1"/>
      <c r="K6" s="1"/>
      <c r="L6" s="1"/>
      <c r="M6" s="1"/>
      <c r="N6" s="1"/>
      <c r="O6" s="1"/>
      <c r="P6" s="1"/>
      <c r="Q6" s="1"/>
    </row>
    <row r="7" spans="1:17" ht="7.9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95" customHeight="1" x14ac:dyDescent="0.3">
      <c r="A8" s="1"/>
      <c r="B8" s="99" t="s">
        <v>65</v>
      </c>
      <c r="C8" s="65"/>
      <c r="D8" s="65"/>
      <c r="E8" s="89" t="s">
        <v>66</v>
      </c>
      <c r="F8" s="49"/>
      <c r="G8" s="49"/>
      <c r="H8" s="72" t="s">
        <v>67</v>
      </c>
      <c r="I8" s="71"/>
      <c r="J8" s="71"/>
      <c r="K8" s="99" t="s">
        <v>68</v>
      </c>
      <c r="L8" s="65"/>
      <c r="M8" s="65"/>
      <c r="N8" s="89" t="s">
        <v>69</v>
      </c>
      <c r="O8" s="49"/>
      <c r="P8" s="49"/>
      <c r="Q8" s="1"/>
    </row>
    <row r="9" spans="1:17" ht="22.2" customHeight="1" x14ac:dyDescent="0.3">
      <c r="A9" s="1"/>
      <c r="B9" s="64">
        <f>Datos!B63</f>
        <v>477</v>
      </c>
      <c r="C9" s="65"/>
      <c r="D9" s="65"/>
      <c r="E9" s="48">
        <f>Datos!B64</f>
        <v>180.25</v>
      </c>
      <c r="F9" s="49"/>
      <c r="G9" s="49"/>
      <c r="H9" s="70">
        <f>Datos!B65</f>
        <v>13</v>
      </c>
      <c r="I9" s="71"/>
      <c r="J9" s="71"/>
      <c r="K9" s="104">
        <f>Datos!B66</f>
        <v>43</v>
      </c>
      <c r="L9" s="65"/>
      <c r="M9" s="65"/>
      <c r="N9" s="48">
        <f>Datos!B67</f>
        <v>476.75</v>
      </c>
      <c r="O9" s="49"/>
      <c r="P9" s="49"/>
      <c r="Q9" s="1"/>
    </row>
    <row r="10" spans="1:17" ht="22.2" customHeight="1" x14ac:dyDescent="0.3">
      <c r="A10" s="1"/>
      <c r="B10" s="65"/>
      <c r="C10" s="65"/>
      <c r="D10" s="65"/>
      <c r="E10" s="49"/>
      <c r="F10" s="49"/>
      <c r="G10" s="49"/>
      <c r="H10" s="71"/>
      <c r="I10" s="71"/>
      <c r="J10" s="71"/>
      <c r="K10" s="65"/>
      <c r="L10" s="65"/>
      <c r="M10" s="65"/>
      <c r="N10" s="49"/>
      <c r="O10" s="49"/>
      <c r="P10" s="49"/>
      <c r="Q10" s="1"/>
    </row>
    <row r="11" spans="1:17" ht="19.95" customHeight="1" x14ac:dyDescent="0.3">
      <c r="A11" s="1"/>
      <c r="B11" s="67" t="s">
        <v>70</v>
      </c>
      <c r="C11" s="68"/>
      <c r="D11" s="5">
        <f>Datos!B70</f>
        <v>18.346153846153847</v>
      </c>
      <c r="E11" s="83" t="s">
        <v>71</v>
      </c>
      <c r="F11" s="84"/>
      <c r="G11" s="6">
        <f>Datos!B71</f>
        <v>0.3778825995807128</v>
      </c>
      <c r="H11" s="96" t="s">
        <v>72</v>
      </c>
      <c r="I11" s="97"/>
      <c r="J11" s="7">
        <f>Datos!B72</f>
        <v>2.7253668763102725E-2</v>
      </c>
      <c r="K11" s="67" t="s">
        <v>73</v>
      </c>
      <c r="L11" s="68"/>
      <c r="M11" s="8">
        <f>Datos!B69</f>
        <v>26</v>
      </c>
      <c r="N11" s="83" t="s">
        <v>74</v>
      </c>
      <c r="O11" s="84"/>
      <c r="P11" s="9">
        <f>Datos!B68</f>
        <v>6</v>
      </c>
      <c r="Q11" s="1"/>
    </row>
    <row r="12" spans="1:17" ht="7.9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9.95" customHeight="1" x14ac:dyDescent="0.3">
      <c r="A13" s="1"/>
      <c r="B13" s="82" t="s">
        <v>75</v>
      </c>
      <c r="C13" s="71"/>
      <c r="D13" s="71"/>
      <c r="E13" s="90" t="s">
        <v>76</v>
      </c>
      <c r="F13" s="91"/>
      <c r="G13" s="91"/>
      <c r="H13" s="95" t="s">
        <v>77</v>
      </c>
      <c r="I13" s="49"/>
      <c r="J13" s="49"/>
      <c r="K13" s="93" t="s">
        <v>78</v>
      </c>
      <c r="L13" s="65"/>
      <c r="M13" s="65"/>
      <c r="N13" s="50" t="s">
        <v>79</v>
      </c>
      <c r="O13" s="51"/>
      <c r="P13" s="51"/>
      <c r="Q13" s="1"/>
    </row>
    <row r="14" spans="1:17" ht="22.2" customHeight="1" x14ac:dyDescent="0.3">
      <c r="A14" s="1"/>
      <c r="B14" s="70">
        <f>Datos!B73</f>
        <v>51</v>
      </c>
      <c r="C14" s="71"/>
      <c r="D14" s="71"/>
      <c r="E14" s="107">
        <f>Datos!B75</f>
        <v>129.25</v>
      </c>
      <c r="F14" s="91"/>
      <c r="G14" s="91"/>
      <c r="H14" s="48">
        <f>Datos!B77</f>
        <v>129.25</v>
      </c>
      <c r="I14" s="49"/>
      <c r="J14" s="49"/>
      <c r="K14" s="64">
        <f>Datos!B78</f>
        <v>193.25</v>
      </c>
      <c r="L14" s="65"/>
      <c r="M14" s="65"/>
      <c r="N14" s="110">
        <f>Datos!B80</f>
        <v>0</v>
      </c>
      <c r="O14" s="51"/>
      <c r="P14" s="51"/>
      <c r="Q14" s="1"/>
    </row>
    <row r="15" spans="1:17" ht="22.2" customHeight="1" x14ac:dyDescent="0.3">
      <c r="A15" s="1"/>
      <c r="B15" s="71"/>
      <c r="C15" s="71"/>
      <c r="D15" s="71"/>
      <c r="E15" s="91"/>
      <c r="F15" s="91"/>
      <c r="G15" s="91"/>
      <c r="H15" s="49"/>
      <c r="I15" s="49"/>
      <c r="J15" s="49"/>
      <c r="K15" s="65"/>
      <c r="L15" s="65"/>
      <c r="M15" s="65"/>
      <c r="N15" s="51"/>
      <c r="O15" s="51"/>
      <c r="P15" s="51"/>
      <c r="Q15" s="1"/>
    </row>
    <row r="16" spans="1:17" ht="19.95" customHeight="1" x14ac:dyDescent="0.3">
      <c r="A16" s="1"/>
      <c r="B16" s="96" t="s">
        <v>80</v>
      </c>
      <c r="C16" s="97"/>
      <c r="D16" s="10">
        <f>Datos!B74</f>
        <v>3</v>
      </c>
      <c r="E16" s="87" t="s">
        <v>81</v>
      </c>
      <c r="F16" s="88"/>
      <c r="G16" s="11">
        <f>Datos!B76</f>
        <v>0.28294036061026351</v>
      </c>
      <c r="H16" s="83" t="s">
        <v>82</v>
      </c>
      <c r="I16" s="84"/>
      <c r="J16" s="12">
        <f>Datos!B64</f>
        <v>180.25</v>
      </c>
      <c r="K16" s="67" t="s">
        <v>83</v>
      </c>
      <c r="L16" s="68"/>
      <c r="M16" s="13">
        <f>Datos!B79</f>
        <v>0.4051362683438155</v>
      </c>
      <c r="N16" s="100" t="s">
        <v>84</v>
      </c>
      <c r="O16" s="101"/>
      <c r="P16" s="14">
        <f>Datos!B81</f>
        <v>3</v>
      </c>
      <c r="Q16" s="1"/>
    </row>
    <row r="17" spans="1:17" ht="24" customHeight="1" x14ac:dyDescent="0.3">
      <c r="A17" s="1"/>
      <c r="B17" s="105" t="str">
        <f>Datos!B82</f>
        <v>✔  Los retiros están dentro de la utilidad del negocio.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1"/>
    </row>
    <row r="18" spans="1:17" ht="7.9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9.95" customHeight="1" x14ac:dyDescent="0.3">
      <c r="A19" s="1"/>
      <c r="B19" s="95" t="s">
        <v>85</v>
      </c>
      <c r="C19" s="49"/>
      <c r="D19" s="49"/>
      <c r="E19" s="49"/>
      <c r="F19" s="49"/>
      <c r="G19" s="90" t="s">
        <v>86</v>
      </c>
      <c r="H19" s="91"/>
      <c r="I19" s="91"/>
      <c r="J19" s="91"/>
      <c r="K19" s="91"/>
      <c r="L19" s="82" t="s">
        <v>87</v>
      </c>
      <c r="M19" s="71"/>
      <c r="N19" s="71"/>
      <c r="O19" s="71"/>
      <c r="P19" s="71"/>
      <c r="Q19" s="1"/>
    </row>
    <row r="20" spans="1:17" ht="22.2" customHeight="1" x14ac:dyDescent="0.3">
      <c r="A20" s="1"/>
      <c r="B20" s="48">
        <f>Datos!B87</f>
        <v>176</v>
      </c>
      <c r="C20" s="49"/>
      <c r="D20" s="49"/>
      <c r="E20" s="49"/>
      <c r="F20" s="49"/>
      <c r="G20" s="107">
        <f>Datos!B83</f>
        <v>240</v>
      </c>
      <c r="H20" s="91"/>
      <c r="I20" s="91"/>
      <c r="J20" s="91"/>
      <c r="K20" s="91"/>
      <c r="L20" s="70">
        <f>Datos!B85</f>
        <v>237</v>
      </c>
      <c r="M20" s="71"/>
      <c r="N20" s="71"/>
      <c r="O20" s="71"/>
      <c r="P20" s="71"/>
      <c r="Q20" s="1"/>
    </row>
    <row r="21" spans="1:17" ht="22.2" customHeight="1" x14ac:dyDescent="0.3">
      <c r="A21" s="1"/>
      <c r="B21" s="49"/>
      <c r="C21" s="49"/>
      <c r="D21" s="49"/>
      <c r="E21" s="49"/>
      <c r="F21" s="49"/>
      <c r="G21" s="91"/>
      <c r="H21" s="91"/>
      <c r="I21" s="91"/>
      <c r="J21" s="91"/>
      <c r="K21" s="91"/>
      <c r="L21" s="71"/>
      <c r="M21" s="71"/>
      <c r="N21" s="71"/>
      <c r="O21" s="71"/>
      <c r="P21" s="71"/>
      <c r="Q21" s="1"/>
    </row>
    <row r="22" spans="1:17" ht="19.95" customHeight="1" x14ac:dyDescent="0.3">
      <c r="A22" s="1"/>
      <c r="B22" s="83" t="s">
        <v>88</v>
      </c>
      <c r="C22" s="84"/>
      <c r="D22" s="15"/>
      <c r="E22" s="15"/>
      <c r="F22" s="12">
        <f>Datos!B88</f>
        <v>413</v>
      </c>
      <c r="G22" s="87" t="s">
        <v>89</v>
      </c>
      <c r="H22" s="88"/>
      <c r="I22" s="2"/>
      <c r="J22" s="2"/>
      <c r="K22" s="16">
        <f>Datos!B84</f>
        <v>11</v>
      </c>
      <c r="L22" s="96" t="s">
        <v>90</v>
      </c>
      <c r="M22" s="97"/>
      <c r="N22" s="3"/>
      <c r="O22" s="3"/>
      <c r="P22" s="10">
        <f>Datos!B86</f>
        <v>15</v>
      </c>
      <c r="Q22" s="1"/>
    </row>
    <row r="23" spans="1:17" ht="19.95" customHeight="1" x14ac:dyDescent="0.3">
      <c r="A23" s="1"/>
      <c r="B23" s="102" t="s">
        <v>91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"/>
    </row>
    <row r="24" spans="1:17" ht="22.2" customHeight="1" x14ac:dyDescent="0.3">
      <c r="A24" s="1"/>
      <c r="B24" s="108" t="s">
        <v>92</v>
      </c>
      <c r="C24" s="56"/>
      <c r="D24" s="56"/>
      <c r="E24" s="56"/>
      <c r="F24" s="56"/>
      <c r="G24" s="56"/>
      <c r="H24" s="56"/>
      <c r="I24" s="56"/>
      <c r="J24" s="56"/>
      <c r="K24" s="108" t="s">
        <v>93</v>
      </c>
      <c r="L24" s="56"/>
      <c r="M24" s="56"/>
      <c r="N24" s="56"/>
      <c r="O24" s="56"/>
      <c r="P24" s="56"/>
      <c r="Q24" s="1"/>
    </row>
    <row r="25" spans="1:17" ht="16.9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6.9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6.9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6.9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6.9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6.9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6.9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6.9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6.9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6.9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6.9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6.9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6.9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6.9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6.9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0.199999999999999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2.2" customHeight="1" x14ac:dyDescent="0.3">
      <c r="A41" s="1"/>
      <c r="B41" s="92" t="s">
        <v>94</v>
      </c>
      <c r="C41" s="47"/>
      <c r="D41" s="47"/>
      <c r="E41" s="47"/>
      <c r="F41" s="47"/>
      <c r="G41" s="47"/>
      <c r="H41" s="92" t="s">
        <v>95</v>
      </c>
      <c r="I41" s="47"/>
      <c r="J41" s="47"/>
      <c r="K41" s="47"/>
      <c r="L41" s="47"/>
      <c r="M41" s="47"/>
      <c r="N41" s="47"/>
      <c r="O41" s="47"/>
      <c r="P41" s="47"/>
      <c r="Q41" s="1"/>
    </row>
    <row r="42" spans="1:17" ht="25.95" customHeight="1" x14ac:dyDescent="0.3">
      <c r="A42" s="1"/>
      <c r="B42" s="1"/>
      <c r="C42" s="1"/>
      <c r="D42" s="1"/>
      <c r="E42" s="1"/>
      <c r="F42" s="1"/>
      <c r="G42" s="1"/>
      <c r="H42" s="57" t="s">
        <v>96</v>
      </c>
      <c r="I42" s="58"/>
      <c r="J42" s="58"/>
      <c r="K42" s="57" t="s">
        <v>97</v>
      </c>
      <c r="L42" s="58"/>
      <c r="M42" s="57" t="s">
        <v>98</v>
      </c>
      <c r="N42" s="58"/>
      <c r="O42" s="57" t="s">
        <v>99</v>
      </c>
      <c r="P42" s="58"/>
      <c r="Q42" s="1"/>
    </row>
    <row r="43" spans="1:17" ht="16.95" customHeight="1" x14ac:dyDescent="0.3">
      <c r="A43" s="1"/>
      <c r="B43" s="1"/>
      <c r="C43" s="1"/>
      <c r="D43" s="1"/>
      <c r="E43" s="1"/>
      <c r="F43" s="1"/>
      <c r="G43" s="1"/>
      <c r="H43" s="60" t="str">
        <f>IF(Datos!A38="","",Datos!A38)</f>
        <v>Pijama Mujer</v>
      </c>
      <c r="I43" s="61"/>
      <c r="J43" s="61"/>
      <c r="K43" s="66">
        <f>Datos!B38</f>
        <v>33</v>
      </c>
      <c r="L43" s="61"/>
      <c r="M43" s="66">
        <f>Datos!C38</f>
        <v>10</v>
      </c>
      <c r="N43" s="61"/>
      <c r="O43" s="73">
        <f>Datos!D38</f>
        <v>131</v>
      </c>
      <c r="P43" s="61"/>
      <c r="Q43" s="1"/>
    </row>
    <row r="44" spans="1:17" ht="16.95" customHeight="1" x14ac:dyDescent="0.3">
      <c r="A44" s="1"/>
      <c r="B44" s="1"/>
      <c r="C44" s="1"/>
      <c r="D44" s="1"/>
      <c r="E44" s="1"/>
      <c r="F44" s="1"/>
      <c r="G44" s="1"/>
      <c r="H44" s="54" t="str">
        <f>IF(Datos!A39="","",Datos!A39)</f>
        <v>Pijama Niño</v>
      </c>
      <c r="I44" s="53"/>
      <c r="J44" s="53"/>
      <c r="K44" s="59">
        <f>Datos!B39</f>
        <v>34</v>
      </c>
      <c r="L44" s="53"/>
      <c r="M44" s="59">
        <f>Datos!C39</f>
        <v>24</v>
      </c>
      <c r="N44" s="53"/>
      <c r="O44" s="106">
        <f>Datos!D39</f>
        <v>237</v>
      </c>
      <c r="P44" s="53"/>
      <c r="Q44" s="1"/>
    </row>
    <row r="45" spans="1:17" ht="16.95" customHeight="1" x14ac:dyDescent="0.3">
      <c r="A45" s="1"/>
      <c r="B45" s="1"/>
      <c r="C45" s="1"/>
      <c r="D45" s="1"/>
      <c r="E45" s="1"/>
      <c r="F45" s="1"/>
      <c r="G45" s="1"/>
      <c r="H45" s="60" t="str">
        <f>IF(Datos!A40="","",Datos!A40)</f>
        <v>Pijama Hombre</v>
      </c>
      <c r="I45" s="61"/>
      <c r="J45" s="61"/>
      <c r="K45" s="66">
        <f>Datos!B40</f>
        <v>3</v>
      </c>
      <c r="L45" s="61"/>
      <c r="M45" s="66">
        <f>Datos!C40</f>
        <v>9</v>
      </c>
      <c r="N45" s="61"/>
      <c r="O45" s="73">
        <f>Datos!D40</f>
        <v>109</v>
      </c>
      <c r="P45" s="61"/>
      <c r="Q45" s="1"/>
    </row>
    <row r="46" spans="1:17" ht="16.95" customHeight="1" x14ac:dyDescent="0.3">
      <c r="A46" s="1"/>
      <c r="B46" s="1"/>
      <c r="C46" s="1"/>
      <c r="D46" s="1"/>
      <c r="E46" s="1"/>
      <c r="F46" s="1"/>
      <c r="G46" s="1"/>
      <c r="H46" s="54" t="str">
        <f>IF(Datos!A41="","",Datos!A41)</f>
        <v/>
      </c>
      <c r="I46" s="53"/>
      <c r="J46" s="53"/>
      <c r="K46" s="59" t="str">
        <f>Datos!B41</f>
        <v/>
      </c>
      <c r="L46" s="53"/>
      <c r="M46" s="59" t="str">
        <f>Datos!C41</f>
        <v/>
      </c>
      <c r="N46" s="53"/>
      <c r="O46" s="106" t="str">
        <f>Datos!D41</f>
        <v/>
      </c>
      <c r="P46" s="53"/>
      <c r="Q46" s="1"/>
    </row>
    <row r="47" spans="1:17" ht="16.95" customHeight="1" x14ac:dyDescent="0.3">
      <c r="A47" s="1"/>
      <c r="B47" s="1"/>
      <c r="C47" s="1"/>
      <c r="D47" s="1"/>
      <c r="E47" s="1"/>
      <c r="F47" s="1"/>
      <c r="G47" s="1"/>
      <c r="H47" s="60" t="str">
        <f>IF(Datos!A42="","",Datos!A42)</f>
        <v/>
      </c>
      <c r="I47" s="61"/>
      <c r="J47" s="61"/>
      <c r="K47" s="66" t="str">
        <f>Datos!B42</f>
        <v/>
      </c>
      <c r="L47" s="61"/>
      <c r="M47" s="66" t="str">
        <f>Datos!C42</f>
        <v/>
      </c>
      <c r="N47" s="61"/>
      <c r="O47" s="73" t="str">
        <f>Datos!D42</f>
        <v/>
      </c>
      <c r="P47" s="61"/>
      <c r="Q47" s="1"/>
    </row>
    <row r="48" spans="1:17" ht="16.95" customHeight="1" x14ac:dyDescent="0.3">
      <c r="A48" s="1"/>
      <c r="B48" s="1"/>
      <c r="C48" s="1"/>
      <c r="D48" s="1"/>
      <c r="E48" s="1"/>
      <c r="F48" s="1"/>
      <c r="G48" s="1"/>
      <c r="H48" s="55" t="s">
        <v>100</v>
      </c>
      <c r="I48" s="56"/>
      <c r="J48" s="56"/>
      <c r="K48" s="62">
        <f>Datos!B43</f>
        <v>70</v>
      </c>
      <c r="L48" s="56"/>
      <c r="M48" s="62">
        <f>Datos!C43</f>
        <v>43</v>
      </c>
      <c r="N48" s="56"/>
      <c r="O48" s="74">
        <f>Datos!D43</f>
        <v>477</v>
      </c>
      <c r="P48" s="56"/>
      <c r="Q48" s="1"/>
    </row>
    <row r="49" spans="1:17" ht="7.9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2.2" customHeight="1" x14ac:dyDescent="0.3">
      <c r="A50" s="1"/>
      <c r="B50" s="1"/>
      <c r="C50" s="1"/>
      <c r="D50" s="1"/>
      <c r="E50" s="1"/>
      <c r="F50" s="1"/>
      <c r="G50" s="1"/>
      <c r="H50" s="92" t="s">
        <v>101</v>
      </c>
      <c r="I50" s="47"/>
      <c r="J50" s="47"/>
      <c r="K50" s="47"/>
      <c r="L50" s="47"/>
      <c r="M50" s="47"/>
      <c r="N50" s="47"/>
      <c r="O50" s="47"/>
      <c r="P50" s="47"/>
      <c r="Q50" s="1"/>
    </row>
    <row r="51" spans="1:17" ht="16.95" customHeight="1" x14ac:dyDescent="0.3">
      <c r="A51" s="1"/>
      <c r="B51" s="1"/>
      <c r="C51" s="1"/>
      <c r="D51" s="1"/>
      <c r="E51" s="1"/>
      <c r="F51" s="1"/>
      <c r="G51" s="1"/>
      <c r="H51" s="18" t="s">
        <v>102</v>
      </c>
      <c r="I51" s="57" t="s">
        <v>103</v>
      </c>
      <c r="J51" s="58"/>
      <c r="K51" s="57" t="s">
        <v>104</v>
      </c>
      <c r="L51" s="58"/>
      <c r="M51" s="58"/>
      <c r="N51" s="58"/>
      <c r="O51" s="57" t="s">
        <v>105</v>
      </c>
      <c r="P51" s="58"/>
      <c r="Q51" s="1"/>
    </row>
    <row r="52" spans="1:17" ht="16.95" customHeight="1" x14ac:dyDescent="0.3">
      <c r="A52" s="1"/>
      <c r="B52" s="1"/>
      <c r="C52" s="1"/>
      <c r="D52" s="1"/>
      <c r="E52" s="1"/>
      <c r="F52" s="1"/>
      <c r="G52" s="1"/>
      <c r="H52" s="19">
        <v>1</v>
      </c>
      <c r="I52" s="81" t="str">
        <f>IF(Datos!F47&gt;0,Datos!D47,"—")</f>
        <v>PJ-N-12</v>
      </c>
      <c r="J52" s="61"/>
      <c r="K52" s="60" t="str">
        <f>IF(Datos!F47&gt;0,Datos!E47,"—")</f>
        <v>Pijama Niño 12</v>
      </c>
      <c r="L52" s="61"/>
      <c r="M52" s="61"/>
      <c r="N52" s="61"/>
      <c r="O52" s="63">
        <f>Datos!F47</f>
        <v>10</v>
      </c>
      <c r="P52" s="61"/>
      <c r="Q52" s="1"/>
    </row>
    <row r="53" spans="1:17" ht="16.95" customHeight="1" x14ac:dyDescent="0.3">
      <c r="A53" s="1"/>
      <c r="B53" s="1"/>
      <c r="C53" s="1"/>
      <c r="D53" s="1"/>
      <c r="E53" s="1"/>
      <c r="F53" s="1"/>
      <c r="G53" s="1"/>
      <c r="H53" s="20">
        <v>2</v>
      </c>
      <c r="I53" s="52" t="str">
        <f>IF(Datos!F48&gt;0,Datos!D48,"—")</f>
        <v>PJ-N-10</v>
      </c>
      <c r="J53" s="53"/>
      <c r="K53" s="54" t="str">
        <f>IF(Datos!F48&gt;0,Datos!E48,"—")</f>
        <v>Pijama Niño 10</v>
      </c>
      <c r="L53" s="53"/>
      <c r="M53" s="53"/>
      <c r="N53" s="53"/>
      <c r="O53" s="109">
        <f>Datos!F48</f>
        <v>6</v>
      </c>
      <c r="P53" s="53"/>
      <c r="Q53" s="1"/>
    </row>
    <row r="54" spans="1:17" ht="16.95" customHeight="1" x14ac:dyDescent="0.3">
      <c r="A54" s="1"/>
      <c r="B54" s="1"/>
      <c r="C54" s="1"/>
      <c r="D54" s="1"/>
      <c r="E54" s="1"/>
      <c r="F54" s="1"/>
      <c r="G54" s="1"/>
      <c r="H54" s="19">
        <v>3</v>
      </c>
      <c r="I54" s="81" t="str">
        <f>IF(Datos!F49&gt;0,Datos!D49,"—")</f>
        <v>PJ-N-8</v>
      </c>
      <c r="J54" s="61"/>
      <c r="K54" s="60" t="str">
        <f>IF(Datos!F49&gt;0,Datos!E49,"—")</f>
        <v>Pijama Niño 8</v>
      </c>
      <c r="L54" s="61"/>
      <c r="M54" s="61"/>
      <c r="N54" s="61"/>
      <c r="O54" s="63">
        <f>Datos!F49</f>
        <v>4</v>
      </c>
      <c r="P54" s="61"/>
      <c r="Q54" s="1"/>
    </row>
    <row r="55" spans="1:17" ht="16.95" customHeight="1" x14ac:dyDescent="0.3">
      <c r="A55" s="1"/>
      <c r="B55" s="1"/>
      <c r="C55" s="1"/>
      <c r="D55" s="1"/>
      <c r="E55" s="1"/>
      <c r="F55" s="1"/>
      <c r="G55" s="1"/>
      <c r="H55" s="20">
        <v>4</v>
      </c>
      <c r="I55" s="52" t="str">
        <f>IF(Datos!F50&gt;0,Datos!D50,"—")</f>
        <v>PJ-M-S</v>
      </c>
      <c r="J55" s="53"/>
      <c r="K55" s="54" t="str">
        <f>IF(Datos!F50&gt;0,Datos!E50,"—")</f>
        <v>Pijama Mujer S</v>
      </c>
      <c r="L55" s="53"/>
      <c r="M55" s="53"/>
      <c r="N55" s="53"/>
      <c r="O55" s="109">
        <f>Datos!F50</f>
        <v>4</v>
      </c>
      <c r="P55" s="53"/>
      <c r="Q55" s="1"/>
    </row>
    <row r="56" spans="1:17" ht="16.95" customHeight="1" x14ac:dyDescent="0.3">
      <c r="A56" s="1"/>
      <c r="B56" s="1"/>
      <c r="C56" s="1"/>
      <c r="D56" s="1"/>
      <c r="E56" s="1"/>
      <c r="F56" s="1"/>
      <c r="G56" s="1"/>
      <c r="H56" s="19">
        <v>5</v>
      </c>
      <c r="I56" s="81" t="str">
        <f>IF(Datos!F51&gt;0,Datos!D51,"—")</f>
        <v>PJ-H-S</v>
      </c>
      <c r="J56" s="61"/>
      <c r="K56" s="60" t="str">
        <f>IF(Datos!F51&gt;0,Datos!E51,"—")</f>
        <v>Pijama Hombre S</v>
      </c>
      <c r="L56" s="61"/>
      <c r="M56" s="61"/>
      <c r="N56" s="61"/>
      <c r="O56" s="63">
        <f>Datos!F51</f>
        <v>3</v>
      </c>
      <c r="P56" s="61"/>
      <c r="Q56" s="1"/>
    </row>
    <row r="57" spans="1:17" ht="10.199999999999999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22.2" customHeight="1" x14ac:dyDescent="0.3">
      <c r="A58" s="1"/>
      <c r="B58" s="79" t="s">
        <v>106</v>
      </c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1"/>
    </row>
    <row r="59" spans="1:17" x14ac:dyDescent="0.3">
      <c r="A59" s="1"/>
      <c r="B59" s="57" t="s">
        <v>103</v>
      </c>
      <c r="C59" s="58"/>
      <c r="D59" s="57" t="s">
        <v>104</v>
      </c>
      <c r="E59" s="58"/>
      <c r="F59" s="58"/>
      <c r="G59" s="58"/>
      <c r="H59" s="58"/>
      <c r="I59" s="57" t="s">
        <v>97</v>
      </c>
      <c r="J59" s="58"/>
      <c r="K59" s="57" t="s">
        <v>107</v>
      </c>
      <c r="L59" s="58"/>
      <c r="M59" s="57" t="s">
        <v>108</v>
      </c>
      <c r="N59" s="58"/>
      <c r="O59" s="58"/>
      <c r="P59" s="58"/>
      <c r="Q59" s="1"/>
    </row>
    <row r="60" spans="1:17" ht="16.95" customHeight="1" x14ac:dyDescent="0.3">
      <c r="A60" s="1"/>
      <c r="B60" s="81" t="str">
        <f>IF(AND(Datos!H55&lt;&gt;"",Datos!H55&lt;&gt;"OK"),Datos!D55,"")</f>
        <v>PJ-N-12</v>
      </c>
      <c r="C60" s="61"/>
      <c r="D60" s="69" t="str">
        <f>IF(Datos!B68=0,"✔  Todo el inventario está en orden",IF(AND(Datos!H55&lt;&gt;"",Datos!H55&lt;&gt;"OK"),Datos!E55,""))</f>
        <v>Pijama Niño 12</v>
      </c>
      <c r="E60" s="61"/>
      <c r="F60" s="61"/>
      <c r="G60" s="61"/>
      <c r="H60" s="61"/>
      <c r="I60" s="66">
        <f>IF(AND(Datos!H55&lt;&gt;"",Datos!H55&lt;&gt;"OK"),Datos!F55,"")</f>
        <v>0</v>
      </c>
      <c r="J60" s="61"/>
      <c r="K60" s="66">
        <f>IF(AND(Datos!H55&lt;&gt;"",Datos!H55&lt;&gt;"OK"),Datos!G55,"")</f>
        <v>2</v>
      </c>
      <c r="L60" s="61"/>
      <c r="M60" s="94" t="str">
        <f>IF(AND(Datos!H55&lt;&gt;"",Datos!H55&lt;&gt;"OK"),Datos!H55,"")</f>
        <v>AGOTADO</v>
      </c>
      <c r="N60" s="61"/>
      <c r="O60" s="61"/>
      <c r="P60" s="61"/>
      <c r="Q60" s="1"/>
    </row>
    <row r="61" spans="1:17" ht="16.95" customHeight="1" x14ac:dyDescent="0.3">
      <c r="A61" s="1"/>
      <c r="B61" s="52" t="str">
        <f>IF(AND(Datos!H56&lt;&gt;"",Datos!H56&lt;&gt;"OK"),Datos!D56,"")</f>
        <v>PJ-H-S</v>
      </c>
      <c r="C61" s="53"/>
      <c r="D61" s="54" t="str">
        <f>IF(AND(Datos!H56&lt;&gt;"",Datos!H56&lt;&gt;"OK"),Datos!E56,"")</f>
        <v>Pijama Hombre S</v>
      </c>
      <c r="E61" s="53"/>
      <c r="F61" s="53"/>
      <c r="G61" s="53"/>
      <c r="H61" s="53"/>
      <c r="I61" s="59">
        <f>IF(AND(Datos!H56&lt;&gt;"",Datos!H56&lt;&gt;"OK"),Datos!F56,"")</f>
        <v>0</v>
      </c>
      <c r="J61" s="53"/>
      <c r="K61" s="59">
        <f>IF(AND(Datos!H56&lt;&gt;"",Datos!H56&lt;&gt;"OK"),Datos!G56,"")</f>
        <v>1</v>
      </c>
      <c r="L61" s="53"/>
      <c r="M61" s="98" t="str">
        <f>IF(AND(Datos!H56&lt;&gt;"",Datos!H56&lt;&gt;"OK"),Datos!H56,"")</f>
        <v>AGOTADO</v>
      </c>
      <c r="N61" s="53"/>
      <c r="O61" s="53"/>
      <c r="P61" s="53"/>
      <c r="Q61" s="1"/>
    </row>
    <row r="62" spans="1:17" ht="16.95" customHeight="1" x14ac:dyDescent="0.3">
      <c r="A62" s="1"/>
      <c r="B62" s="81" t="str">
        <f>IF(AND(Datos!H57&lt;&gt;"",Datos!H57&lt;&gt;"OK"),Datos!D57,"")</f>
        <v>PJ-H-M</v>
      </c>
      <c r="C62" s="61"/>
      <c r="D62" s="60" t="str">
        <f>IF(AND(Datos!H57&lt;&gt;"",Datos!H57&lt;&gt;"OK"),Datos!E57,"")</f>
        <v>Pijama Hombre M</v>
      </c>
      <c r="E62" s="61"/>
      <c r="F62" s="61"/>
      <c r="G62" s="61"/>
      <c r="H62" s="61"/>
      <c r="I62" s="66">
        <f>IF(AND(Datos!H57&lt;&gt;"",Datos!H57&lt;&gt;"OK"),Datos!F57,"")</f>
        <v>0</v>
      </c>
      <c r="J62" s="61"/>
      <c r="K62" s="66">
        <f>IF(AND(Datos!H57&lt;&gt;"",Datos!H57&lt;&gt;"OK"),Datos!G57,"")</f>
        <v>1</v>
      </c>
      <c r="L62" s="61"/>
      <c r="M62" s="94" t="str">
        <f>IF(AND(Datos!H57&lt;&gt;"",Datos!H57&lt;&gt;"OK"),Datos!H57,"")</f>
        <v>AGOTADO</v>
      </c>
      <c r="N62" s="61"/>
      <c r="O62" s="61"/>
      <c r="P62" s="61"/>
      <c r="Q62" s="1"/>
    </row>
    <row r="63" spans="1:17" ht="16.95" customHeight="1" x14ac:dyDescent="0.3">
      <c r="A63" s="1"/>
      <c r="B63" s="52" t="str">
        <f>IF(AND(Datos!H58&lt;&gt;"",Datos!H58&lt;&gt;"OK"),Datos!D58,"")</f>
        <v>PJ-H-L</v>
      </c>
      <c r="C63" s="53"/>
      <c r="D63" s="54" t="str">
        <f>IF(AND(Datos!H58&lt;&gt;"",Datos!H58&lt;&gt;"OK"),Datos!E58,"")</f>
        <v>Pijama Hombre L</v>
      </c>
      <c r="E63" s="53"/>
      <c r="F63" s="53"/>
      <c r="G63" s="53"/>
      <c r="H63" s="53"/>
      <c r="I63" s="59">
        <f>IF(AND(Datos!H58&lt;&gt;"",Datos!H58&lt;&gt;"OK"),Datos!F58,"")</f>
        <v>1</v>
      </c>
      <c r="J63" s="53"/>
      <c r="K63" s="59">
        <f>IF(AND(Datos!H58&lt;&gt;"",Datos!H58&lt;&gt;"OK"),Datos!G58,"")</f>
        <v>1</v>
      </c>
      <c r="L63" s="53"/>
      <c r="M63" s="98" t="str">
        <f>IF(AND(Datos!H58&lt;&gt;"",Datos!H58&lt;&gt;"OK"),Datos!H58,"")</f>
        <v>REPONER</v>
      </c>
      <c r="N63" s="53"/>
      <c r="O63" s="53"/>
      <c r="P63" s="53"/>
      <c r="Q63" s="1"/>
    </row>
    <row r="64" spans="1:17" ht="16.95" customHeight="1" x14ac:dyDescent="0.3">
      <c r="A64" s="1"/>
      <c r="B64" s="81" t="str">
        <f>IF(AND(Datos!H59&lt;&gt;"",Datos!H59&lt;&gt;"OK"),Datos!D59,"")</f>
        <v>PJ-H-XL</v>
      </c>
      <c r="C64" s="61"/>
      <c r="D64" s="60" t="str">
        <f>IF(AND(Datos!H59&lt;&gt;"",Datos!H59&lt;&gt;"OK"),Datos!E59,"")</f>
        <v>Pijama Hombre XL</v>
      </c>
      <c r="E64" s="61"/>
      <c r="F64" s="61"/>
      <c r="G64" s="61"/>
      <c r="H64" s="61"/>
      <c r="I64" s="66">
        <f>IF(AND(Datos!H59&lt;&gt;"",Datos!H59&lt;&gt;"OK"),Datos!F59,"")</f>
        <v>1</v>
      </c>
      <c r="J64" s="61"/>
      <c r="K64" s="66">
        <f>IF(AND(Datos!H59&lt;&gt;"",Datos!H59&lt;&gt;"OK"),Datos!G59,"")</f>
        <v>1</v>
      </c>
      <c r="L64" s="61"/>
      <c r="M64" s="94" t="str">
        <f>IF(AND(Datos!H59&lt;&gt;"",Datos!H59&lt;&gt;"OK"),Datos!H59,"")</f>
        <v>REPONER</v>
      </c>
      <c r="N64" s="61"/>
      <c r="O64" s="61"/>
      <c r="P64" s="61"/>
      <c r="Q64" s="1"/>
    </row>
    <row r="65" spans="1:17" ht="7.9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9.95" customHeight="1" x14ac:dyDescent="0.3">
      <c r="A66" s="1"/>
      <c r="B66" s="46" t="s">
        <v>109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1"/>
    </row>
    <row r="67" spans="1:17" ht="19.95" customHeight="1" x14ac:dyDescent="0.3">
      <c r="A67" s="1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1"/>
    </row>
    <row r="68" spans="1:17" ht="6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</sheetData>
  <mergeCells count="129">
    <mergeCell ref="K64:L64"/>
    <mergeCell ref="K8:M8"/>
    <mergeCell ref="B11:C11"/>
    <mergeCell ref="I54:J54"/>
    <mergeCell ref="E14:G15"/>
    <mergeCell ref="H9:J10"/>
    <mergeCell ref="B61:C61"/>
    <mergeCell ref="M59:P59"/>
    <mergeCell ref="B24:J24"/>
    <mergeCell ref="B14:D15"/>
    <mergeCell ref="O43:P43"/>
    <mergeCell ref="O55:P55"/>
    <mergeCell ref="K42:L42"/>
    <mergeCell ref="N14:P15"/>
    <mergeCell ref="M45:N45"/>
    <mergeCell ref="E9:G10"/>
    <mergeCell ref="I52:J52"/>
    <mergeCell ref="K24:P24"/>
    <mergeCell ref="M43:N43"/>
    <mergeCell ref="M61:P61"/>
    <mergeCell ref="E13:G13"/>
    <mergeCell ref="N11:O11"/>
    <mergeCell ref="O53:P53"/>
    <mergeCell ref="G20:K21"/>
    <mergeCell ref="B8:D8"/>
    <mergeCell ref="N16:O16"/>
    <mergeCell ref="K53:N53"/>
    <mergeCell ref="M44:N44"/>
    <mergeCell ref="D63:H63"/>
    <mergeCell ref="B23:P23"/>
    <mergeCell ref="K9:M10"/>
    <mergeCell ref="N8:P8"/>
    <mergeCell ref="M62:P62"/>
    <mergeCell ref="I61:J61"/>
    <mergeCell ref="O45:P45"/>
    <mergeCell ref="B22:C22"/>
    <mergeCell ref="B17:P17"/>
    <mergeCell ref="O54:P54"/>
    <mergeCell ref="K63:L63"/>
    <mergeCell ref="O44:P44"/>
    <mergeCell ref="I56:J56"/>
    <mergeCell ref="H11:I11"/>
    <mergeCell ref="H42:J42"/>
    <mergeCell ref="K43:L43"/>
    <mergeCell ref="H16:I16"/>
    <mergeCell ref="I62:J62"/>
    <mergeCell ref="O46:P46"/>
    <mergeCell ref="K11:L11"/>
    <mergeCell ref="B64:C64"/>
    <mergeCell ref="M47:N47"/>
    <mergeCell ref="H14:J15"/>
    <mergeCell ref="B13:D13"/>
    <mergeCell ref="K45:L45"/>
    <mergeCell ref="M48:N48"/>
    <mergeCell ref="H45:J45"/>
    <mergeCell ref="K60:L60"/>
    <mergeCell ref="M64:P64"/>
    <mergeCell ref="O51:P51"/>
    <mergeCell ref="B41:G41"/>
    <mergeCell ref="B19:F19"/>
    <mergeCell ref="K51:N51"/>
    <mergeCell ref="O56:P56"/>
    <mergeCell ref="M60:P60"/>
    <mergeCell ref="L22:M22"/>
    <mergeCell ref="M63:P63"/>
    <mergeCell ref="K46:L46"/>
    <mergeCell ref="K54:N54"/>
    <mergeCell ref="B63:C63"/>
    <mergeCell ref="G22:H22"/>
    <mergeCell ref="B16:C16"/>
    <mergeCell ref="K47:L47"/>
    <mergeCell ref="H13:J13"/>
    <mergeCell ref="K44:L44"/>
    <mergeCell ref="H47:J47"/>
    <mergeCell ref="B60:C60"/>
    <mergeCell ref="G19:K19"/>
    <mergeCell ref="H44:J44"/>
    <mergeCell ref="H41:P41"/>
    <mergeCell ref="H50:P50"/>
    <mergeCell ref="K13:M13"/>
    <mergeCell ref="K55:N55"/>
    <mergeCell ref="H8:J8"/>
    <mergeCell ref="O47:P47"/>
    <mergeCell ref="I64:J64"/>
    <mergeCell ref="O48:P48"/>
    <mergeCell ref="I51:J51"/>
    <mergeCell ref="B1:P2"/>
    <mergeCell ref="B3:P3"/>
    <mergeCell ref="E6:H6"/>
    <mergeCell ref="I63:J63"/>
    <mergeCell ref="N9:P10"/>
    <mergeCell ref="B58:P58"/>
    <mergeCell ref="D59:H59"/>
    <mergeCell ref="B62:C62"/>
    <mergeCell ref="B59:C59"/>
    <mergeCell ref="L19:P19"/>
    <mergeCell ref="E11:F11"/>
    <mergeCell ref="B4:P4"/>
    <mergeCell ref="B9:D10"/>
    <mergeCell ref="B6:C6"/>
    <mergeCell ref="E16:F16"/>
    <mergeCell ref="K56:N56"/>
    <mergeCell ref="E8:G8"/>
    <mergeCell ref="I59:J59"/>
    <mergeCell ref="K52:N52"/>
    <mergeCell ref="B66:P67"/>
    <mergeCell ref="B20:F21"/>
    <mergeCell ref="N13:P13"/>
    <mergeCell ref="I53:J53"/>
    <mergeCell ref="D61:H61"/>
    <mergeCell ref="H48:J48"/>
    <mergeCell ref="K59:L59"/>
    <mergeCell ref="I55:J55"/>
    <mergeCell ref="M46:N46"/>
    <mergeCell ref="M42:N42"/>
    <mergeCell ref="O42:P42"/>
    <mergeCell ref="K61:L61"/>
    <mergeCell ref="D62:H62"/>
    <mergeCell ref="K48:L48"/>
    <mergeCell ref="H43:J43"/>
    <mergeCell ref="O52:P52"/>
    <mergeCell ref="D64:H64"/>
    <mergeCell ref="K14:M15"/>
    <mergeCell ref="K62:L62"/>
    <mergeCell ref="I60:J60"/>
    <mergeCell ref="K16:L16"/>
    <mergeCell ref="D60:H60"/>
    <mergeCell ref="H46:J46"/>
    <mergeCell ref="L20:P21"/>
  </mergeCells>
  <conditionalFormatting sqref="B17:P17">
    <cfRule type="expression" dxfId="8" priority="2">
      <formula>LEFT($B$17,1)="⚠"</formula>
    </cfRule>
  </conditionalFormatting>
  <conditionalFormatting sqref="D60:H60">
    <cfRule type="expression" dxfId="7" priority="6">
      <formula>LEFT($D$60,1)="✔"</formula>
    </cfRule>
  </conditionalFormatting>
  <conditionalFormatting sqref="E13:G16">
    <cfRule type="expression" dxfId="6" priority="1">
      <formula>$E$14&lt;0</formula>
    </cfRule>
  </conditionalFormatting>
  <conditionalFormatting sqref="M60:P64">
    <cfRule type="cellIs" dxfId="5" priority="4" operator="equal">
      <formula>"AGOTADO"</formula>
    </cfRule>
    <cfRule type="cellIs" dxfId="4" priority="5" operator="equal">
      <formula>"REPONER"</formula>
    </cfRule>
  </conditionalFormatting>
  <conditionalFormatting sqref="O52:P56">
    <cfRule type="dataBar" priority="3">
      <dataBar>
        <cfvo type="num" val="0"/>
        <cfvo type="max"/>
        <color rgb="FFA8D5BA"/>
      </dataBar>
    </cfRule>
  </conditionalFormatting>
  <dataValidations count="1">
    <dataValidation type="list" showErrorMessage="1" sqref="D6" xr:uid="{00000000-0002-0000-0000-000000000000}">
      <formula1>"2025,2026,2027,2028,2029,2030,2031,2032,2033,2034,2035"</formula1>
    </dataValidation>
  </dataValidation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5B33"/>
  </sheetPr>
  <dimension ref="A1:N20"/>
  <sheetViews>
    <sheetView workbookViewId="0">
      <pane xSplit="1" topLeftCell="B1" activePane="topRight" state="frozen"/>
      <selection pane="topRight" sqref="A1:A1048576"/>
    </sheetView>
  </sheetViews>
  <sheetFormatPr baseColWidth="10" defaultColWidth="8.88671875" defaultRowHeight="14.4" x14ac:dyDescent="0.3"/>
  <cols>
    <col min="1" max="1" width="14" customWidth="1"/>
    <col min="2" max="2" width="22" customWidth="1"/>
    <col min="3" max="3" width="8" customWidth="1"/>
    <col min="4" max="4" width="10" customWidth="1"/>
    <col min="5" max="5" width="14" customWidth="1"/>
    <col min="6" max="6" width="13" customWidth="1"/>
    <col min="7" max="8" width="12" customWidth="1"/>
    <col min="9" max="10" width="11" customWidth="1"/>
    <col min="11" max="12" width="12" customWidth="1"/>
    <col min="13" max="13" width="16" customWidth="1"/>
    <col min="14" max="14" width="10" customWidth="1"/>
  </cols>
  <sheetData>
    <row r="1" spans="1:14" ht="21" x14ac:dyDescent="0.4">
      <c r="A1" s="21" t="s">
        <v>110</v>
      </c>
    </row>
    <row r="2" spans="1:14" x14ac:dyDescent="0.3">
      <c r="A2" s="22" t="s">
        <v>111</v>
      </c>
    </row>
    <row r="4" spans="1:14" ht="31.95" customHeight="1" x14ac:dyDescent="0.3">
      <c r="A4" s="30" t="s">
        <v>103</v>
      </c>
      <c r="B4" s="30" t="s">
        <v>104</v>
      </c>
      <c r="C4" s="30" t="s">
        <v>112</v>
      </c>
      <c r="D4" s="30" t="s">
        <v>113</v>
      </c>
      <c r="E4" s="30" t="s">
        <v>114</v>
      </c>
      <c r="F4" s="30" t="s">
        <v>115</v>
      </c>
      <c r="G4" s="30" t="s">
        <v>116</v>
      </c>
      <c r="H4" s="30" t="s">
        <v>107</v>
      </c>
      <c r="I4" s="31" t="s">
        <v>117</v>
      </c>
      <c r="J4" s="31" t="s">
        <v>118</v>
      </c>
      <c r="K4" s="31" t="s">
        <v>97</v>
      </c>
      <c r="L4" s="31" t="s">
        <v>108</v>
      </c>
      <c r="M4" s="31" t="s">
        <v>119</v>
      </c>
      <c r="N4" s="31" t="s">
        <v>120</v>
      </c>
    </row>
    <row r="5" spans="1:14" x14ac:dyDescent="0.3">
      <c r="A5" s="32" t="s">
        <v>121</v>
      </c>
      <c r="B5" s="32" t="s">
        <v>122</v>
      </c>
      <c r="C5" s="32" t="s">
        <v>123</v>
      </c>
      <c r="D5" s="32" t="s">
        <v>124</v>
      </c>
      <c r="E5" s="33">
        <v>8.5</v>
      </c>
      <c r="F5" s="33">
        <v>12</v>
      </c>
      <c r="G5" s="32">
        <v>10</v>
      </c>
      <c r="H5" s="32">
        <v>2</v>
      </c>
      <c r="I5" s="34">
        <f>SUMIFS(tblCompras[Cantidad],tblCompras[SKU],tblProductos[[#This Row],[SKU]])</f>
        <v>0</v>
      </c>
      <c r="J5" s="34">
        <f>SUMIFS(tblVentas[Cantidad],tblVentas[SKU],tblProductos[[#This Row],[SKU]])</f>
        <v>4</v>
      </c>
      <c r="K5" s="34">
        <f>tblProductos[[#This Row],[Stock inicial]]+tblProductos[[#This Row],[Entradas]]-tblProductos[[#This Row],[Salidas]]</f>
        <v>6</v>
      </c>
      <c r="L5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5" s="36">
        <f>tblProductos[[#This Row],[Stock actual]]*tblProductos[[#This Row],[Costo unitario]]</f>
        <v>51</v>
      </c>
      <c r="N5" s="37">
        <f>IF(tblProductos[[#This Row],[Precio venta]]=0,"",(tblProductos[[#This Row],[Precio venta]]-tblProductos[[#This Row],[Costo unitario]])/tblProductos[[#This Row],[Precio venta]])</f>
        <v>0.29166666666666669</v>
      </c>
    </row>
    <row r="6" spans="1:14" x14ac:dyDescent="0.3">
      <c r="A6" s="32" t="s">
        <v>125</v>
      </c>
      <c r="B6" s="32" t="s">
        <v>122</v>
      </c>
      <c r="C6" s="32" t="s">
        <v>126</v>
      </c>
      <c r="D6" s="32" t="s">
        <v>124</v>
      </c>
      <c r="E6" s="33">
        <v>8.5</v>
      </c>
      <c r="F6" s="33">
        <v>12</v>
      </c>
      <c r="G6" s="32">
        <v>10</v>
      </c>
      <c r="H6" s="32">
        <v>2</v>
      </c>
      <c r="I6" s="34">
        <f>SUMIFS(tblCompras[Cantidad],tblCompras[SKU],tblProductos[[#This Row],[SKU]])</f>
        <v>0</v>
      </c>
      <c r="J6" s="34">
        <f>SUMIFS(tblVentas[Cantidad],tblVentas[SKU],tblProductos[[#This Row],[SKU]])</f>
        <v>3</v>
      </c>
      <c r="K6" s="34">
        <f>tblProductos[[#This Row],[Stock inicial]]+tblProductos[[#This Row],[Entradas]]-tblProductos[[#This Row],[Salidas]]</f>
        <v>7</v>
      </c>
      <c r="L6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6" s="36">
        <f>tblProductos[[#This Row],[Stock actual]]*tblProductos[[#This Row],[Costo unitario]]</f>
        <v>59.5</v>
      </c>
      <c r="N6" s="37">
        <f>IF(tblProductos[[#This Row],[Precio venta]]=0,"",(tblProductos[[#This Row],[Precio venta]]-tblProductos[[#This Row],[Costo unitario]])/tblProductos[[#This Row],[Precio venta]])</f>
        <v>0.29166666666666669</v>
      </c>
    </row>
    <row r="7" spans="1:14" x14ac:dyDescent="0.3">
      <c r="A7" s="32" t="s">
        <v>127</v>
      </c>
      <c r="B7" s="32" t="s">
        <v>122</v>
      </c>
      <c r="C7" s="32" t="s">
        <v>128</v>
      </c>
      <c r="D7" s="32" t="s">
        <v>124</v>
      </c>
      <c r="E7" s="33">
        <v>8.5</v>
      </c>
      <c r="F7" s="33">
        <v>12</v>
      </c>
      <c r="G7" s="32">
        <v>10</v>
      </c>
      <c r="H7" s="32">
        <v>2</v>
      </c>
      <c r="I7" s="34">
        <f>SUMIFS(tblCompras[Cantidad],tblCompras[SKU],tblProductos[[#This Row],[SKU]])</f>
        <v>-2</v>
      </c>
      <c r="J7" s="34">
        <f>SUMIFS(tblVentas[Cantidad],tblVentas[SKU],tblProductos[[#This Row],[SKU]])</f>
        <v>1</v>
      </c>
      <c r="K7" s="34">
        <f>tblProductos[[#This Row],[Stock inicial]]+tblProductos[[#This Row],[Entradas]]-tblProductos[[#This Row],[Salidas]]</f>
        <v>7</v>
      </c>
      <c r="L7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7" s="36">
        <f>tblProductos[[#This Row],[Stock actual]]*tblProductos[[#This Row],[Costo unitario]]</f>
        <v>59.5</v>
      </c>
      <c r="N7" s="37">
        <f>IF(tblProductos[[#This Row],[Precio venta]]=0,"",(tblProductos[[#This Row],[Precio venta]]-tblProductos[[#This Row],[Costo unitario]])/tblProductos[[#This Row],[Precio venta]])</f>
        <v>0.29166666666666669</v>
      </c>
    </row>
    <row r="8" spans="1:14" x14ac:dyDescent="0.3">
      <c r="A8" s="32" t="s">
        <v>129</v>
      </c>
      <c r="B8" s="32" t="s">
        <v>122</v>
      </c>
      <c r="C8" s="32" t="s">
        <v>130</v>
      </c>
      <c r="D8" s="32" t="s">
        <v>124</v>
      </c>
      <c r="E8" s="33">
        <v>8.5</v>
      </c>
      <c r="F8" s="33">
        <v>12</v>
      </c>
      <c r="G8" s="32">
        <v>10</v>
      </c>
      <c r="H8" s="32">
        <v>2</v>
      </c>
      <c r="I8" s="34">
        <f>SUMIFS(tblCompras[Cantidad],tblCompras[SKU],tblProductos[[#This Row],[SKU]])</f>
        <v>0</v>
      </c>
      <c r="J8" s="34">
        <f>SUMIFS(tblVentas[Cantidad],tblVentas[SKU],tblProductos[[#This Row],[SKU]])</f>
        <v>2</v>
      </c>
      <c r="K8" s="34">
        <f>tblProductos[[#This Row],[Stock inicial]]+tblProductos[[#This Row],[Entradas]]-tblProductos[[#This Row],[Salidas]]</f>
        <v>8</v>
      </c>
      <c r="L8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8" s="36">
        <f>tblProductos[[#This Row],[Stock actual]]*tblProductos[[#This Row],[Costo unitario]]</f>
        <v>68</v>
      </c>
      <c r="N8" s="37">
        <f>IF(tblProductos[[#This Row],[Precio venta]]=0,"",(tblProductos[[#This Row],[Precio venta]]-tblProductos[[#This Row],[Costo unitario]])/tblProductos[[#This Row],[Precio venta]])</f>
        <v>0.29166666666666669</v>
      </c>
    </row>
    <row r="9" spans="1:14" x14ac:dyDescent="0.3">
      <c r="A9" s="32" t="s">
        <v>131</v>
      </c>
      <c r="B9" s="32" t="s">
        <v>122</v>
      </c>
      <c r="C9" s="32" t="s">
        <v>132</v>
      </c>
      <c r="D9" s="32" t="s">
        <v>124</v>
      </c>
      <c r="E9" s="33">
        <v>8.5</v>
      </c>
      <c r="F9" s="33">
        <v>12</v>
      </c>
      <c r="G9" s="32">
        <v>5</v>
      </c>
      <c r="H9" s="32">
        <v>1</v>
      </c>
      <c r="I9" s="34">
        <f>SUMIFS(tblCompras[Cantidad],tblCompras[SKU],tblProductos[[#This Row],[SKU]])</f>
        <v>0</v>
      </c>
      <c r="J9" s="34">
        <f>SUMIFS(tblVentas[Cantidad],tblVentas[SKU],tblProductos[[#This Row],[SKU]])</f>
        <v>0</v>
      </c>
      <c r="K9" s="34">
        <f>tblProductos[[#This Row],[Stock inicial]]+tblProductos[[#This Row],[Entradas]]-tblProductos[[#This Row],[Salidas]]</f>
        <v>5</v>
      </c>
      <c r="L9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9" s="36">
        <f>tblProductos[[#This Row],[Stock actual]]*tblProductos[[#This Row],[Costo unitario]]</f>
        <v>42.5</v>
      </c>
      <c r="N9" s="37">
        <f>IF(tblProductos[[#This Row],[Precio venta]]=0,"",(tblProductos[[#This Row],[Precio venta]]-tblProductos[[#This Row],[Costo unitario]])/tblProductos[[#This Row],[Precio venta]])</f>
        <v>0.29166666666666669</v>
      </c>
    </row>
    <row r="10" spans="1:14" x14ac:dyDescent="0.3">
      <c r="A10" s="32" t="s">
        <v>133</v>
      </c>
      <c r="B10" s="32" t="s">
        <v>134</v>
      </c>
      <c r="C10" s="32">
        <v>4</v>
      </c>
      <c r="D10" s="32" t="s">
        <v>124</v>
      </c>
      <c r="E10" s="33">
        <v>5</v>
      </c>
      <c r="F10" s="33">
        <v>10</v>
      </c>
      <c r="G10" s="32">
        <v>10</v>
      </c>
      <c r="H10" s="32">
        <v>2</v>
      </c>
      <c r="I10" s="34">
        <f>SUMIFS(tblCompras[Cantidad],tblCompras[SKU],tblProductos[[#This Row],[SKU]])</f>
        <v>-2</v>
      </c>
      <c r="J10" s="34">
        <f>SUMIFS(tblVentas[Cantidad],tblVentas[SKU],tblProductos[[#This Row],[SKU]])</f>
        <v>0</v>
      </c>
      <c r="K10" s="34">
        <f>tblProductos[[#This Row],[Stock inicial]]+tblProductos[[#This Row],[Entradas]]-tblProductos[[#This Row],[Salidas]]</f>
        <v>8</v>
      </c>
      <c r="L10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10" s="36">
        <f>tblProductos[[#This Row],[Stock actual]]*tblProductos[[#This Row],[Costo unitario]]</f>
        <v>40</v>
      </c>
      <c r="N10" s="37">
        <f>IF(tblProductos[[#This Row],[Precio venta]]=0,"",(tblProductos[[#This Row],[Precio venta]]-tblProductos[[#This Row],[Costo unitario]])/tblProductos[[#This Row],[Precio venta]])</f>
        <v>0.5</v>
      </c>
    </row>
    <row r="11" spans="1:14" x14ac:dyDescent="0.3">
      <c r="A11" s="32" t="s">
        <v>135</v>
      </c>
      <c r="B11" s="32" t="s">
        <v>134</v>
      </c>
      <c r="C11" s="32">
        <v>6</v>
      </c>
      <c r="D11" s="32" t="s">
        <v>124</v>
      </c>
      <c r="E11" s="33">
        <v>5</v>
      </c>
      <c r="F11" s="33">
        <v>10</v>
      </c>
      <c r="G11" s="32">
        <v>10</v>
      </c>
      <c r="H11" s="32">
        <v>2</v>
      </c>
      <c r="I11" s="34">
        <f>SUMIFS(tblCompras[Cantidad],tblCompras[SKU],tblProductos[[#This Row],[SKU]])</f>
        <v>0</v>
      </c>
      <c r="J11" s="34">
        <f>SUMIFS(tblVentas[Cantidad],tblVentas[SKU],tblProductos[[#This Row],[SKU]])</f>
        <v>2</v>
      </c>
      <c r="K11" s="34">
        <f>tblProductos[[#This Row],[Stock inicial]]+tblProductos[[#This Row],[Entradas]]-tblProductos[[#This Row],[Salidas]]</f>
        <v>8</v>
      </c>
      <c r="L11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11" s="36">
        <f>tblProductos[[#This Row],[Stock actual]]*tblProductos[[#This Row],[Costo unitario]]</f>
        <v>40</v>
      </c>
      <c r="N11" s="37">
        <f>IF(tblProductos[[#This Row],[Precio venta]]=0,"",(tblProductos[[#This Row],[Precio venta]]-tblProductos[[#This Row],[Costo unitario]])/tblProductos[[#This Row],[Precio venta]])</f>
        <v>0.5</v>
      </c>
    </row>
    <row r="12" spans="1:14" x14ac:dyDescent="0.3">
      <c r="A12" s="32" t="s">
        <v>136</v>
      </c>
      <c r="B12" s="32" t="s">
        <v>134</v>
      </c>
      <c r="C12" s="32">
        <v>8</v>
      </c>
      <c r="D12" s="32" t="s">
        <v>124</v>
      </c>
      <c r="E12" s="33">
        <v>5</v>
      </c>
      <c r="F12" s="33">
        <v>10</v>
      </c>
      <c r="G12" s="32">
        <v>10</v>
      </c>
      <c r="H12" s="32">
        <v>2</v>
      </c>
      <c r="I12" s="34">
        <f>SUMIFS(tblCompras[Cantidad],tblCompras[SKU],tblProductos[[#This Row],[SKU]])</f>
        <v>0</v>
      </c>
      <c r="J12" s="34">
        <f>SUMIFS(tblVentas[Cantidad],tblVentas[SKU],tblProductos[[#This Row],[SKU]])</f>
        <v>4</v>
      </c>
      <c r="K12" s="34">
        <f>tblProductos[[#This Row],[Stock inicial]]+tblProductos[[#This Row],[Entradas]]-tblProductos[[#This Row],[Salidas]]</f>
        <v>6</v>
      </c>
      <c r="L12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12" s="36">
        <f>tblProductos[[#This Row],[Stock actual]]*tblProductos[[#This Row],[Costo unitario]]</f>
        <v>30</v>
      </c>
      <c r="N12" s="37">
        <f>IF(tblProductos[[#This Row],[Precio venta]]=0,"",(tblProductos[[#This Row],[Precio venta]]-tblProductos[[#This Row],[Costo unitario]])/tblProductos[[#This Row],[Precio venta]])</f>
        <v>0.5</v>
      </c>
    </row>
    <row r="13" spans="1:14" x14ac:dyDescent="0.3">
      <c r="A13" s="32" t="s">
        <v>137</v>
      </c>
      <c r="B13" s="32" t="s">
        <v>134</v>
      </c>
      <c r="C13" s="32">
        <v>10</v>
      </c>
      <c r="D13" s="32" t="s">
        <v>124</v>
      </c>
      <c r="E13" s="33">
        <v>5</v>
      </c>
      <c r="F13" s="33">
        <v>10</v>
      </c>
      <c r="G13" s="32">
        <v>10</v>
      </c>
      <c r="H13" s="32">
        <v>2</v>
      </c>
      <c r="I13" s="34">
        <f>SUMIFS(tblCompras[Cantidad],tblCompras[SKU],tblProductos[[#This Row],[SKU]])</f>
        <v>0</v>
      </c>
      <c r="J13" s="34">
        <f>SUMIFS(tblVentas[Cantidad],tblVentas[SKU],tblProductos[[#This Row],[SKU]])</f>
        <v>6</v>
      </c>
      <c r="K13" s="34">
        <f>tblProductos[[#This Row],[Stock inicial]]+tblProductos[[#This Row],[Entradas]]-tblProductos[[#This Row],[Salidas]]</f>
        <v>4</v>
      </c>
      <c r="L13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13" s="36">
        <f>tblProductos[[#This Row],[Stock actual]]*tblProductos[[#This Row],[Costo unitario]]</f>
        <v>20</v>
      </c>
      <c r="N13" s="37">
        <f>IF(tblProductos[[#This Row],[Precio venta]]=0,"",(tblProductos[[#This Row],[Precio venta]]-tblProductos[[#This Row],[Costo unitario]])/tblProductos[[#This Row],[Precio venta]])</f>
        <v>0.5</v>
      </c>
    </row>
    <row r="14" spans="1:14" x14ac:dyDescent="0.3">
      <c r="A14" s="32" t="s">
        <v>138</v>
      </c>
      <c r="B14" s="32" t="s">
        <v>134</v>
      </c>
      <c r="C14" s="32">
        <v>12</v>
      </c>
      <c r="D14" s="32" t="s">
        <v>124</v>
      </c>
      <c r="E14" s="33">
        <v>5</v>
      </c>
      <c r="F14" s="33">
        <v>10</v>
      </c>
      <c r="G14" s="32">
        <v>10</v>
      </c>
      <c r="H14" s="32">
        <v>2</v>
      </c>
      <c r="I14" s="34">
        <f>SUMIFS(tblCompras[Cantidad],tblCompras[SKU],tblProductos[[#This Row],[SKU]])</f>
        <v>0</v>
      </c>
      <c r="J14" s="34">
        <f>SUMIFS(tblVentas[Cantidad],tblVentas[SKU],tblProductos[[#This Row],[SKU]])</f>
        <v>10</v>
      </c>
      <c r="K14" s="34">
        <f>tblProductos[[#This Row],[Stock inicial]]+tblProductos[[#This Row],[Entradas]]-tblProductos[[#This Row],[Salidas]]</f>
        <v>0</v>
      </c>
      <c r="L14" s="35" t="str">
        <f>IF(tblProductos[[#This Row],[SKU]]="","",IF(tblProductos[[#This Row],[Stock actual]]&lt;=0,"AGOTADO",IF(tblProductos[[#This Row],[Stock actual]]&lt;=tblProductos[[#This Row],[Stock mínimo]],"REPONER","OK")))</f>
        <v>AGOTADO</v>
      </c>
      <c r="M14" s="36">
        <f>tblProductos[[#This Row],[Stock actual]]*tblProductos[[#This Row],[Costo unitario]]</f>
        <v>0</v>
      </c>
      <c r="N14" s="37">
        <f>IF(tblProductos[[#This Row],[Precio venta]]=0,"",(tblProductos[[#This Row],[Precio venta]]-tblProductos[[#This Row],[Costo unitario]])/tblProductos[[#This Row],[Precio venta]])</f>
        <v>0.5</v>
      </c>
    </row>
    <row r="15" spans="1:14" x14ac:dyDescent="0.3">
      <c r="A15" s="32" t="s">
        <v>139</v>
      </c>
      <c r="B15" s="32" t="s">
        <v>134</v>
      </c>
      <c r="C15" s="32">
        <v>14</v>
      </c>
      <c r="D15" s="32" t="s">
        <v>124</v>
      </c>
      <c r="E15" s="33">
        <v>5</v>
      </c>
      <c r="F15" s="33">
        <v>10</v>
      </c>
      <c r="G15" s="32">
        <v>10</v>
      </c>
      <c r="H15" s="32">
        <v>2</v>
      </c>
      <c r="I15" s="34">
        <f>SUMIFS(tblCompras[Cantidad],tblCompras[SKU],tblProductos[[#This Row],[SKU]])</f>
        <v>0</v>
      </c>
      <c r="J15" s="34">
        <f>SUMIFS(tblVentas[Cantidad],tblVentas[SKU],tblProductos[[#This Row],[SKU]])</f>
        <v>2</v>
      </c>
      <c r="K15" s="34">
        <f>tblProductos[[#This Row],[Stock inicial]]+tblProductos[[#This Row],[Entradas]]-tblProductos[[#This Row],[Salidas]]</f>
        <v>8</v>
      </c>
      <c r="L15" s="35" t="str">
        <f>IF(tblProductos[[#This Row],[SKU]]="","",IF(tblProductos[[#This Row],[Stock actual]]&lt;=0,"AGOTADO",IF(tblProductos[[#This Row],[Stock actual]]&lt;=tblProductos[[#This Row],[Stock mínimo]],"REPONER","OK")))</f>
        <v>OK</v>
      </c>
      <c r="M15" s="36">
        <f>tblProductos[[#This Row],[Stock actual]]*tblProductos[[#This Row],[Costo unitario]]</f>
        <v>40</v>
      </c>
      <c r="N15" s="37">
        <f>IF(tblProductos[[#This Row],[Precio venta]]=0,"",(tblProductos[[#This Row],[Precio venta]]-tblProductos[[#This Row],[Costo unitario]])/tblProductos[[#This Row],[Precio venta]])</f>
        <v>0.5</v>
      </c>
    </row>
    <row r="16" spans="1:14" x14ac:dyDescent="0.3">
      <c r="A16" s="32" t="s">
        <v>140</v>
      </c>
      <c r="B16" s="32" t="s">
        <v>141</v>
      </c>
      <c r="C16" s="32" t="s">
        <v>123</v>
      </c>
      <c r="D16" s="32" t="s">
        <v>124</v>
      </c>
      <c r="E16" s="33">
        <v>8.75</v>
      </c>
      <c r="F16" s="33">
        <v>12</v>
      </c>
      <c r="G16" s="32">
        <v>3</v>
      </c>
      <c r="H16" s="32">
        <v>1</v>
      </c>
      <c r="I16" s="34">
        <f>SUMIFS(tblCompras[Cantidad],tblCompras[SKU],tblProductos[[#This Row],[SKU]])</f>
        <v>0</v>
      </c>
      <c r="J16" s="34">
        <f>SUMIFS(tblVentas[Cantidad],tblVentas[SKU],tblProductos[[#This Row],[SKU]])</f>
        <v>3</v>
      </c>
      <c r="K16" s="34">
        <f>tblProductos[[#This Row],[Stock inicial]]+tblProductos[[#This Row],[Entradas]]-tblProductos[[#This Row],[Salidas]]</f>
        <v>0</v>
      </c>
      <c r="L16" s="35" t="str">
        <f>IF(tblProductos[[#This Row],[SKU]]="","",IF(tblProductos[[#This Row],[Stock actual]]&lt;=0,"AGOTADO",IF(tblProductos[[#This Row],[Stock actual]]&lt;=tblProductos[[#This Row],[Stock mínimo]],"REPONER","OK")))</f>
        <v>AGOTADO</v>
      </c>
      <c r="M16" s="36">
        <f>tblProductos[[#This Row],[Stock actual]]*tblProductos[[#This Row],[Costo unitario]]</f>
        <v>0</v>
      </c>
      <c r="N16" s="37">
        <f>IF(tblProductos[[#This Row],[Precio venta]]=0,"",(tblProductos[[#This Row],[Precio venta]]-tblProductos[[#This Row],[Costo unitario]])/tblProductos[[#This Row],[Precio venta]])</f>
        <v>0.27083333333333331</v>
      </c>
    </row>
    <row r="17" spans="1:14" x14ac:dyDescent="0.3">
      <c r="A17" s="32" t="s">
        <v>142</v>
      </c>
      <c r="B17" s="32" t="s">
        <v>141</v>
      </c>
      <c r="C17" s="32" t="s">
        <v>126</v>
      </c>
      <c r="D17" s="32" t="s">
        <v>124</v>
      </c>
      <c r="E17" s="33">
        <v>8.75</v>
      </c>
      <c r="F17" s="33">
        <v>12</v>
      </c>
      <c r="G17" s="32">
        <v>3</v>
      </c>
      <c r="H17" s="32">
        <v>1</v>
      </c>
      <c r="I17" s="34">
        <f>SUMIFS(tblCompras[Cantidad],tblCompras[SKU],tblProductos[[#This Row],[SKU]])</f>
        <v>-3</v>
      </c>
      <c r="J17" s="34">
        <f>SUMIFS(tblVentas[Cantidad],tblVentas[SKU],tblProductos[[#This Row],[SKU]])</f>
        <v>0</v>
      </c>
      <c r="K17" s="34">
        <f>tblProductos[[#This Row],[Stock inicial]]+tblProductos[[#This Row],[Entradas]]-tblProductos[[#This Row],[Salidas]]</f>
        <v>0</v>
      </c>
      <c r="L17" s="35" t="str">
        <f>IF(tblProductos[[#This Row],[SKU]]="","",IF(tblProductos[[#This Row],[Stock actual]]&lt;=0,"AGOTADO",IF(tblProductos[[#This Row],[Stock actual]]&lt;=tblProductos[[#This Row],[Stock mínimo]],"REPONER","OK")))</f>
        <v>AGOTADO</v>
      </c>
      <c r="M17" s="36">
        <f>tblProductos[[#This Row],[Stock actual]]*tblProductos[[#This Row],[Costo unitario]]</f>
        <v>0</v>
      </c>
      <c r="N17" s="37">
        <f>IF(tblProductos[[#This Row],[Precio venta]]=0,"",(tblProductos[[#This Row],[Precio venta]]-tblProductos[[#This Row],[Costo unitario]])/tblProductos[[#This Row],[Precio venta]])</f>
        <v>0.27083333333333331</v>
      </c>
    </row>
    <row r="18" spans="1:14" x14ac:dyDescent="0.3">
      <c r="A18" s="32" t="s">
        <v>143</v>
      </c>
      <c r="B18" s="32" t="s">
        <v>141</v>
      </c>
      <c r="C18" s="32" t="s">
        <v>128</v>
      </c>
      <c r="D18" s="32" t="s">
        <v>124</v>
      </c>
      <c r="E18" s="33">
        <v>8.75</v>
      </c>
      <c r="F18" s="33">
        <v>12</v>
      </c>
      <c r="G18" s="32">
        <v>3</v>
      </c>
      <c r="H18" s="32">
        <v>1</v>
      </c>
      <c r="I18" s="34">
        <f>SUMIFS(tblCompras[Cantidad],tblCompras[SKU],tblProductos[[#This Row],[SKU]])</f>
        <v>0</v>
      </c>
      <c r="J18" s="34">
        <f>SUMIFS(tblVentas[Cantidad],tblVentas[SKU],tblProductos[[#This Row],[SKU]])</f>
        <v>2</v>
      </c>
      <c r="K18" s="34">
        <f>tblProductos[[#This Row],[Stock inicial]]+tblProductos[[#This Row],[Entradas]]-tblProductos[[#This Row],[Salidas]]</f>
        <v>1</v>
      </c>
      <c r="L18" s="35" t="str">
        <f>IF(tblProductos[[#This Row],[SKU]]="","",IF(tblProductos[[#This Row],[Stock actual]]&lt;=0,"AGOTADO",IF(tblProductos[[#This Row],[Stock actual]]&lt;=tblProductos[[#This Row],[Stock mínimo]],"REPONER","OK")))</f>
        <v>REPONER</v>
      </c>
      <c r="M18" s="36">
        <f>tblProductos[[#This Row],[Stock actual]]*tblProductos[[#This Row],[Costo unitario]]</f>
        <v>8.75</v>
      </c>
      <c r="N18" s="37">
        <f>IF(tblProductos[[#This Row],[Precio venta]]=0,"",(tblProductos[[#This Row],[Precio venta]]-tblProductos[[#This Row],[Costo unitario]])/tblProductos[[#This Row],[Precio venta]])</f>
        <v>0.27083333333333331</v>
      </c>
    </row>
    <row r="19" spans="1:14" x14ac:dyDescent="0.3">
      <c r="A19" s="32" t="s">
        <v>144</v>
      </c>
      <c r="B19" s="32" t="s">
        <v>141</v>
      </c>
      <c r="C19" s="32" t="s">
        <v>130</v>
      </c>
      <c r="D19" s="32" t="s">
        <v>124</v>
      </c>
      <c r="E19" s="33">
        <v>8.75</v>
      </c>
      <c r="F19" s="33">
        <v>12</v>
      </c>
      <c r="G19" s="32">
        <v>3</v>
      </c>
      <c r="H19" s="32">
        <v>1</v>
      </c>
      <c r="I19" s="34">
        <f>SUMIFS(tblCompras[Cantidad],tblCompras[SKU],tblProductos[[#This Row],[SKU]])</f>
        <v>0</v>
      </c>
      <c r="J19" s="34">
        <f>SUMIFS(tblVentas[Cantidad],tblVentas[SKU],tblProductos[[#This Row],[SKU]])</f>
        <v>2</v>
      </c>
      <c r="K19" s="34">
        <f>tblProductos[[#This Row],[Stock inicial]]+tblProductos[[#This Row],[Entradas]]-tblProductos[[#This Row],[Salidas]]</f>
        <v>1</v>
      </c>
      <c r="L19" s="35" t="str">
        <f>IF(tblProductos[[#This Row],[SKU]]="","",IF(tblProductos[[#This Row],[Stock actual]]&lt;=0,"AGOTADO",IF(tblProductos[[#This Row],[Stock actual]]&lt;=tblProductos[[#This Row],[Stock mínimo]],"REPONER","OK")))</f>
        <v>REPONER</v>
      </c>
      <c r="M19" s="36">
        <f>tblProductos[[#This Row],[Stock actual]]*tblProductos[[#This Row],[Costo unitario]]</f>
        <v>8.75</v>
      </c>
      <c r="N19" s="37">
        <f>IF(tblProductos[[#This Row],[Precio venta]]=0,"",(tblProductos[[#This Row],[Precio venta]]-tblProductos[[#This Row],[Costo unitario]])/tblProductos[[#This Row],[Precio venta]])</f>
        <v>0.27083333333333331</v>
      </c>
    </row>
    <row r="20" spans="1:14" x14ac:dyDescent="0.3">
      <c r="A20" s="32" t="s">
        <v>145</v>
      </c>
      <c r="B20" s="32" t="s">
        <v>141</v>
      </c>
      <c r="C20" s="32" t="s">
        <v>132</v>
      </c>
      <c r="D20" s="32" t="s">
        <v>124</v>
      </c>
      <c r="E20" s="33">
        <v>8.75</v>
      </c>
      <c r="F20" s="33">
        <v>12</v>
      </c>
      <c r="G20" s="32">
        <v>3</v>
      </c>
      <c r="H20" s="32">
        <v>1</v>
      </c>
      <c r="I20" s="34">
        <f>SUMIFS(tblCompras[Cantidad],tblCompras[SKU],tblProductos[[#This Row],[SKU]])</f>
        <v>0</v>
      </c>
      <c r="J20" s="34">
        <f>SUMIFS(tblVentas[Cantidad],tblVentas[SKU],tblProductos[[#This Row],[SKU]])</f>
        <v>2</v>
      </c>
      <c r="K20" s="34">
        <f>tblProductos[[#This Row],[Stock inicial]]+tblProductos[[#This Row],[Entradas]]-tblProductos[[#This Row],[Salidas]]</f>
        <v>1</v>
      </c>
      <c r="L20" s="35" t="str">
        <f>IF(tblProductos[[#This Row],[SKU]]="","",IF(tblProductos[[#This Row],[Stock actual]]&lt;=0,"AGOTADO",IF(tblProductos[[#This Row],[Stock actual]]&lt;=tblProductos[[#This Row],[Stock mínimo]],"REPONER","OK")))</f>
        <v>REPONER</v>
      </c>
      <c r="M20" s="36">
        <f>tblProductos[[#This Row],[Stock actual]]*tblProductos[[#This Row],[Costo unitario]]</f>
        <v>8.75</v>
      </c>
      <c r="N20" s="37">
        <f>IF(tblProductos[[#This Row],[Precio venta]]=0,"",(tblProductos[[#This Row],[Precio venta]]-tblProductos[[#This Row],[Costo unitario]])/tblProductos[[#This Row],[Precio venta]])</f>
        <v>0.27083333333333331</v>
      </c>
    </row>
  </sheetData>
  <conditionalFormatting sqref="L5:L20">
    <cfRule type="cellIs" dxfId="3" priority="1" operator="equal">
      <formula>"AGOTADO"</formula>
    </cfRule>
    <cfRule type="cellIs" dxfId="2" priority="2" operator="equal">
      <formula>"REPONER"</formula>
    </cfRule>
    <cfRule type="cellIs" dxfId="1" priority="3" operator="equal">
      <formula>"OK"</formula>
    </cfRule>
  </conditionalFormatting>
  <dataValidations count="1">
    <dataValidation type="list" errorStyle="warning" allowBlank="1" showErrorMessage="1" errorTitle="Valor no está en la lista" error="Ese modelo no está en Listas. ¿Continuar de todos modos?" sqref="B5:B20" xr:uid="{00000000-0002-0000-0200-000000000000}">
      <formula1>ListaModelos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5B33"/>
  </sheetPr>
  <dimension ref="A1:G7"/>
  <sheetViews>
    <sheetView workbookViewId="0">
      <pane ySplit="4" topLeftCell="A5" activePane="bottomLeft" state="frozen"/>
      <selection pane="bottomLeft" activeCell="C18" sqref="C18"/>
    </sheetView>
  </sheetViews>
  <sheetFormatPr baseColWidth="10" defaultColWidth="8.88671875" defaultRowHeight="14.4" x14ac:dyDescent="0.3"/>
  <cols>
    <col min="1" max="1" width="13" customWidth="1"/>
    <col min="2" max="2" width="14" customWidth="1"/>
    <col min="3" max="3" width="30" customWidth="1"/>
    <col min="4" max="4" width="11" customWidth="1"/>
    <col min="5" max="6" width="14" customWidth="1"/>
    <col min="7" max="7" width="26" customWidth="1"/>
  </cols>
  <sheetData>
    <row r="1" spans="1:7" ht="21" x14ac:dyDescent="0.4">
      <c r="A1" s="21" t="s">
        <v>146</v>
      </c>
    </row>
    <row r="2" spans="1:7" x14ac:dyDescent="0.3">
      <c r="A2" s="22" t="s">
        <v>147</v>
      </c>
    </row>
    <row r="4" spans="1:7" ht="31.95" customHeight="1" x14ac:dyDescent="0.3">
      <c r="A4" s="30" t="s">
        <v>148</v>
      </c>
      <c r="B4" s="30" t="s">
        <v>103</v>
      </c>
      <c r="C4" s="31" t="s">
        <v>104</v>
      </c>
      <c r="D4" s="30" t="s">
        <v>149</v>
      </c>
      <c r="E4" s="30" t="s">
        <v>114</v>
      </c>
      <c r="F4" s="31" t="s">
        <v>150</v>
      </c>
      <c r="G4" s="30" t="s">
        <v>151</v>
      </c>
    </row>
    <row r="5" spans="1:7" x14ac:dyDescent="0.3">
      <c r="A5" s="38">
        <v>46321</v>
      </c>
      <c r="B5" s="32" t="s">
        <v>142</v>
      </c>
      <c r="C5" s="34" t="str">
        <f>IF(tblCompras[[#This Row],[SKU]]="","",IFERROR(INDEX(tblProductos[Producto],MATCH(tblCompras[[#This Row],[SKU]],tblProductos[SKU],0))&amp;" "&amp;INDEX(tblProductos[Talla],MATCH(tblCompras[[#This Row],[SKU]],tblProductos[SKU],0)),"SKU no existe"))</f>
        <v>Pijama Hombre M</v>
      </c>
      <c r="D5" s="32">
        <v>-3</v>
      </c>
      <c r="E5" s="33">
        <v>0</v>
      </c>
      <c r="F5" s="36">
        <f>IF(OR(tblCompras[[#This Row],[Cantidad]]="",tblCompras[[#This Row],[Costo unitario]]=""),"",tblCompras[[#This Row],[Cantidad]]*tblCompras[[#This Row],[Costo unitario]])</f>
        <v>0</v>
      </c>
      <c r="G5" s="32" t="s">
        <v>152</v>
      </c>
    </row>
    <row r="6" spans="1:7" x14ac:dyDescent="0.3">
      <c r="A6" s="38">
        <v>46321</v>
      </c>
      <c r="B6" s="32" t="s">
        <v>127</v>
      </c>
      <c r="C6" s="34" t="str">
        <f>IF(tblCompras[[#This Row],[SKU]]="","",IFERROR(INDEX(tblProductos[Producto],MATCH(tblCompras[[#This Row],[SKU]],tblProductos[SKU],0))&amp;" "&amp;INDEX(tblProductos[Talla],MATCH(tblCompras[[#This Row],[SKU]],tblProductos[SKU],0)),"SKU no existe"))</f>
        <v>Pijama Mujer L</v>
      </c>
      <c r="D6" s="32">
        <v>-2</v>
      </c>
      <c r="E6" s="33">
        <v>0</v>
      </c>
      <c r="F6" s="36">
        <f>IF(OR(tblCompras[[#This Row],[Cantidad]]="",tblCompras[[#This Row],[Costo unitario]]=""),"",tblCompras[[#This Row],[Cantidad]]*tblCompras[[#This Row],[Costo unitario]])</f>
        <v>0</v>
      </c>
      <c r="G6" s="32" t="s">
        <v>152</v>
      </c>
    </row>
    <row r="7" spans="1:7" x14ac:dyDescent="0.3">
      <c r="A7" s="38">
        <v>46321</v>
      </c>
      <c r="B7" s="32" t="s">
        <v>133</v>
      </c>
      <c r="C7" s="34" t="str">
        <f>IF(tblCompras[[#This Row],[SKU]]="","",IFERROR(INDEX(tblProductos[Producto],MATCH(tblCompras[[#This Row],[SKU]],tblProductos[SKU],0))&amp;" "&amp;INDEX(tblProductos[Talla],MATCH(tblCompras[[#This Row],[SKU]],tblProductos[SKU],0)),"SKU no existe"))</f>
        <v>Pijama Niño 4</v>
      </c>
      <c r="D7" s="32">
        <v>-2</v>
      </c>
      <c r="E7" s="33">
        <v>0</v>
      </c>
      <c r="F7" s="36">
        <f>IF(OR(tblCompras[[#This Row],[Cantidad]]="",tblCompras[[#This Row],[Costo unitario]]=""),"",tblCompras[[#This Row],[Cantidad]]*tblCompras[[#This Row],[Costo unitario]])</f>
        <v>0</v>
      </c>
      <c r="G7" s="32" t="s">
        <v>152</v>
      </c>
    </row>
  </sheetData>
  <dataValidations count="1">
    <dataValidation type="list" allowBlank="1" showErrorMessage="1" errorTitle="Valor no está en la lista" error="Elige un valor de la lista (si es un SKU nuevo, regístralo primero en Productos)." sqref="B5" xr:uid="{00000000-0002-0000-0300-000000000000}">
      <formula1>ListaSKU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5B33"/>
  </sheetPr>
  <dimension ref="A1:N30"/>
  <sheetViews>
    <sheetView tabSelected="1" topLeftCell="A23" workbookViewId="0">
      <pane xSplit="1" topLeftCell="B1" activePane="topRight" state="frozen"/>
      <selection pane="topRight" activeCell="C36" sqref="C36"/>
    </sheetView>
  </sheetViews>
  <sheetFormatPr baseColWidth="10" defaultColWidth="8.88671875" defaultRowHeight="14.4" x14ac:dyDescent="0.3"/>
  <cols>
    <col min="1" max="1" width="13" customWidth="1"/>
    <col min="2" max="2" width="13.6640625" customWidth="1"/>
    <col min="3" max="3" width="14" customWidth="1"/>
    <col min="4" max="4" width="30" customWidth="1"/>
    <col min="5" max="5" width="10" customWidth="1"/>
    <col min="6" max="6" width="13" customWidth="1"/>
    <col min="7" max="7" width="12" customWidth="1"/>
    <col min="8" max="8" width="14" customWidth="1"/>
    <col min="9" max="10" width="12" customWidth="1"/>
    <col min="11" max="11" width="15" customWidth="1"/>
    <col min="12" max="12" width="24" customWidth="1"/>
    <col min="13" max="13" width="14" customWidth="1"/>
    <col min="14" max="14" width="20" customWidth="1"/>
  </cols>
  <sheetData>
    <row r="1" spans="1:14" ht="21" x14ac:dyDescent="0.4">
      <c r="A1" s="21" t="s">
        <v>153</v>
      </c>
    </row>
    <row r="2" spans="1:14" x14ac:dyDescent="0.3">
      <c r="A2" s="22" t="s">
        <v>154</v>
      </c>
    </row>
    <row r="4" spans="1:14" ht="31.95" customHeight="1" x14ac:dyDescent="0.3">
      <c r="A4" s="30" t="s">
        <v>148</v>
      </c>
      <c r="B4" s="30" t="s">
        <v>155</v>
      </c>
      <c r="C4" s="30" t="s">
        <v>103</v>
      </c>
      <c r="D4" s="31" t="s">
        <v>104</v>
      </c>
      <c r="E4" s="30" t="s">
        <v>149</v>
      </c>
      <c r="F4" s="31" t="s">
        <v>156</v>
      </c>
      <c r="G4" s="30" t="s">
        <v>157</v>
      </c>
      <c r="H4" s="31" t="s">
        <v>158</v>
      </c>
      <c r="I4" s="31" t="s">
        <v>159</v>
      </c>
      <c r="J4" s="31" t="s">
        <v>160</v>
      </c>
      <c r="K4" s="30" t="s">
        <v>161</v>
      </c>
      <c r="L4" s="30" t="s">
        <v>162</v>
      </c>
      <c r="M4" s="30" t="s">
        <v>108</v>
      </c>
      <c r="N4" s="31" t="s">
        <v>163</v>
      </c>
    </row>
    <row r="5" spans="1:14" x14ac:dyDescent="0.3">
      <c r="A5" s="38">
        <v>46309</v>
      </c>
      <c r="B5" s="32">
        <v>1</v>
      </c>
      <c r="C5" s="32" t="s">
        <v>137</v>
      </c>
      <c r="D5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10</v>
      </c>
      <c r="E5" s="32">
        <v>1</v>
      </c>
      <c r="F5" s="36">
        <f>IF(tblVentas[[#This Row],[SKU]]="","",IFERROR(INDEX(tblProductos[Precio venta],MATCH(tblVentas[[#This Row],[SKU]],tblProductos[SKU],0)),0))</f>
        <v>10</v>
      </c>
      <c r="G5" s="33">
        <v>-2</v>
      </c>
      <c r="H5" s="36">
        <f>IF(OR(tblVentas[[#This Row],[SKU]]="",tblVentas[[#This Row],[Cantidad]]=""),"",tblVentas[[#This Row],[Cantidad]]*tblVentas[[#This Row],[Precio unitario]]-tblVentas[[#This Row],[Descuento]])</f>
        <v>12</v>
      </c>
      <c r="I5" s="36">
        <f>IF(OR(tblVentas[[#This Row],[SKU]]="",tblVentas[[#This Row],[Cantidad]]=""),"",tblVentas[[#This Row],[Cantidad]]*IFERROR(INDEX(tblProductos[Costo unitario],MATCH(tblVentas[[#This Row],[SKU]],tblProductos[SKU],0)),0))</f>
        <v>5</v>
      </c>
      <c r="J5" s="36">
        <f>IF(tblVentas[[#This Row],[Total venta]]="","",tblVentas[[#This Row],[Total venta]]-tblVentas[[#This Row],[Costo]])</f>
        <v>7</v>
      </c>
      <c r="K5" s="32" t="s">
        <v>164</v>
      </c>
      <c r="L5" s="32" t="s">
        <v>165</v>
      </c>
      <c r="M5" s="32" t="s">
        <v>166</v>
      </c>
      <c r="N5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6" spans="1:14" x14ac:dyDescent="0.3">
      <c r="A6" s="38">
        <v>46309</v>
      </c>
      <c r="B6" s="32">
        <v>1</v>
      </c>
      <c r="C6" s="32" t="s">
        <v>138</v>
      </c>
      <c r="D6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12</v>
      </c>
      <c r="E6" s="32">
        <v>1</v>
      </c>
      <c r="F6" s="36">
        <f>IF(tblVentas[[#This Row],[SKU]]="","",IFERROR(INDEX(tblProductos[Precio venta],MATCH(tblVentas[[#This Row],[SKU]],tblProductos[SKU],0)),0))</f>
        <v>10</v>
      </c>
      <c r="G6" s="33">
        <v>-2</v>
      </c>
      <c r="H6" s="36">
        <f>IF(OR(tblVentas[[#This Row],[SKU]]="",tblVentas[[#This Row],[Cantidad]]=""),"",tblVentas[[#This Row],[Cantidad]]*tblVentas[[#This Row],[Precio unitario]]-tblVentas[[#This Row],[Descuento]])</f>
        <v>12</v>
      </c>
      <c r="I6" s="36">
        <f>IF(OR(tblVentas[[#This Row],[SKU]]="",tblVentas[[#This Row],[Cantidad]]=""),"",tblVentas[[#This Row],[Cantidad]]*IFERROR(INDEX(tblProductos[Costo unitario],MATCH(tblVentas[[#This Row],[SKU]],tblProductos[SKU],0)),0))</f>
        <v>5</v>
      </c>
      <c r="J6" s="36">
        <f>IF(tblVentas[[#This Row],[Total venta]]="","",tblVentas[[#This Row],[Total venta]]-tblVentas[[#This Row],[Costo]])</f>
        <v>7</v>
      </c>
      <c r="K6" s="32" t="s">
        <v>164</v>
      </c>
      <c r="L6" s="32" t="s">
        <v>165</v>
      </c>
      <c r="M6" s="32" t="s">
        <v>166</v>
      </c>
      <c r="N6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7" spans="1:14" x14ac:dyDescent="0.3">
      <c r="A7" s="38">
        <v>46312</v>
      </c>
      <c r="B7" s="32">
        <v>2</v>
      </c>
      <c r="C7" s="32" t="s">
        <v>137</v>
      </c>
      <c r="D7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10</v>
      </c>
      <c r="E7" s="32">
        <v>1</v>
      </c>
      <c r="F7" s="36">
        <f>IF(tblVentas[[#This Row],[SKU]]="","",IFERROR(INDEX(tblProductos[Precio venta],MATCH(tblVentas[[#This Row],[SKU]],tblProductos[SKU],0)),0))</f>
        <v>10</v>
      </c>
      <c r="G7" s="33">
        <v>-2</v>
      </c>
      <c r="H7" s="36">
        <f>IF(OR(tblVentas[[#This Row],[SKU]]="",tblVentas[[#This Row],[Cantidad]]=""),"",tblVentas[[#This Row],[Cantidad]]*tblVentas[[#This Row],[Precio unitario]]-tblVentas[[#This Row],[Descuento]])</f>
        <v>12</v>
      </c>
      <c r="I7" s="36">
        <f>IF(OR(tblVentas[[#This Row],[SKU]]="",tblVentas[[#This Row],[Cantidad]]=""),"",tblVentas[[#This Row],[Cantidad]]*IFERROR(INDEX(tblProductos[Costo unitario],MATCH(tblVentas[[#This Row],[SKU]],tblProductos[SKU],0)),0))</f>
        <v>5</v>
      </c>
      <c r="J7" s="36">
        <f>IF(tblVentas[[#This Row],[Total venta]]="","",tblVentas[[#This Row],[Total venta]]-tblVentas[[#This Row],[Costo]])</f>
        <v>7</v>
      </c>
      <c r="K7" s="32" t="s">
        <v>164</v>
      </c>
      <c r="L7" s="32" t="s">
        <v>167</v>
      </c>
      <c r="M7" s="32" t="s">
        <v>166</v>
      </c>
      <c r="N7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8" spans="1:14" x14ac:dyDescent="0.3">
      <c r="A8" s="38">
        <v>46312</v>
      </c>
      <c r="B8" s="32">
        <v>2</v>
      </c>
      <c r="C8" s="32" t="s">
        <v>138</v>
      </c>
      <c r="D8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12</v>
      </c>
      <c r="E8" s="32">
        <v>1</v>
      </c>
      <c r="F8" s="36">
        <f>IF(tblVentas[[#This Row],[SKU]]="","",IFERROR(INDEX(tblProductos[Precio venta],MATCH(tblVentas[[#This Row],[SKU]],tblProductos[SKU],0)),0))</f>
        <v>10</v>
      </c>
      <c r="G8" s="33">
        <v>-2</v>
      </c>
      <c r="H8" s="36">
        <f>IF(OR(tblVentas[[#This Row],[SKU]]="",tblVentas[[#This Row],[Cantidad]]=""),"",tblVentas[[#This Row],[Cantidad]]*tblVentas[[#This Row],[Precio unitario]]-tblVentas[[#This Row],[Descuento]])</f>
        <v>12</v>
      </c>
      <c r="I8" s="36">
        <f>IF(OR(tblVentas[[#This Row],[SKU]]="",tblVentas[[#This Row],[Cantidad]]=""),"",tblVentas[[#This Row],[Cantidad]]*IFERROR(INDEX(tblProductos[Costo unitario],MATCH(tblVentas[[#This Row],[SKU]],tblProductos[SKU],0)),0))</f>
        <v>5</v>
      </c>
      <c r="J8" s="36">
        <f>IF(tblVentas[[#This Row],[Total venta]]="","",tblVentas[[#This Row],[Total venta]]-tblVentas[[#This Row],[Costo]])</f>
        <v>7</v>
      </c>
      <c r="K8" s="32" t="s">
        <v>164</v>
      </c>
      <c r="L8" s="32" t="s">
        <v>167</v>
      </c>
      <c r="M8" s="32" t="s">
        <v>166</v>
      </c>
      <c r="N8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9" spans="1:14" x14ac:dyDescent="0.3">
      <c r="A9" s="38">
        <v>46312</v>
      </c>
      <c r="B9" s="32">
        <v>2</v>
      </c>
      <c r="C9" s="32" t="s">
        <v>121</v>
      </c>
      <c r="D9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S</v>
      </c>
      <c r="E9" s="32">
        <v>1</v>
      </c>
      <c r="F9" s="36">
        <f>IF(tblVentas[[#This Row],[SKU]]="","",IFERROR(INDEX(tblProductos[Precio venta],MATCH(tblVentas[[#This Row],[SKU]],tblProductos[SKU],0)),0))</f>
        <v>12</v>
      </c>
      <c r="G9" s="33">
        <v>-3</v>
      </c>
      <c r="H9" s="36">
        <f>IF(OR(tblVentas[[#This Row],[SKU]]="",tblVentas[[#This Row],[Cantidad]]=""),"",tblVentas[[#This Row],[Cantidad]]*tblVentas[[#This Row],[Precio unitario]]-tblVentas[[#This Row],[Descuento]])</f>
        <v>15</v>
      </c>
      <c r="I9" s="36">
        <f>IF(OR(tblVentas[[#This Row],[SKU]]="",tblVentas[[#This Row],[Cantidad]]=""),"",tblVentas[[#This Row],[Cantidad]]*IFERROR(INDEX(tblProductos[Costo unitario],MATCH(tblVentas[[#This Row],[SKU]],tblProductos[SKU],0)),0))</f>
        <v>8.5</v>
      </c>
      <c r="J9" s="36">
        <f>IF(tblVentas[[#This Row],[Total venta]]="","",tblVentas[[#This Row],[Total venta]]-tblVentas[[#This Row],[Costo]])</f>
        <v>6.5</v>
      </c>
      <c r="K9" s="32" t="s">
        <v>164</v>
      </c>
      <c r="L9" s="32" t="s">
        <v>167</v>
      </c>
      <c r="M9" s="32" t="s">
        <v>166</v>
      </c>
      <c r="N9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0" spans="1:14" x14ac:dyDescent="0.3">
      <c r="A10" s="38">
        <v>46316</v>
      </c>
      <c r="B10" s="32">
        <v>3</v>
      </c>
      <c r="C10" s="32" t="s">
        <v>121</v>
      </c>
      <c r="D10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S</v>
      </c>
      <c r="E10" s="32">
        <v>1</v>
      </c>
      <c r="F10" s="36">
        <f>IF(tblVentas[[#This Row],[SKU]]="","",IFERROR(INDEX(tblProductos[Precio venta],MATCH(tblVentas[[#This Row],[SKU]],tblProductos[SKU],0)),0))</f>
        <v>12</v>
      </c>
      <c r="G10" s="33">
        <v>-3</v>
      </c>
      <c r="H10" s="36">
        <f>IF(OR(tblVentas[[#This Row],[SKU]]="",tblVentas[[#This Row],[Cantidad]]=""),"",tblVentas[[#This Row],[Cantidad]]*tblVentas[[#This Row],[Precio unitario]]-tblVentas[[#This Row],[Descuento]])</f>
        <v>15</v>
      </c>
      <c r="I10" s="36">
        <f>IF(OR(tblVentas[[#This Row],[SKU]]="",tblVentas[[#This Row],[Cantidad]]=""),"",tblVentas[[#This Row],[Cantidad]]*IFERROR(INDEX(tblProductos[Costo unitario],MATCH(tblVentas[[#This Row],[SKU]],tblProductos[SKU],0)),0))</f>
        <v>8.5</v>
      </c>
      <c r="J10" s="36">
        <f>IF(tblVentas[[#This Row],[Total venta]]="","",tblVentas[[#This Row],[Total venta]]-tblVentas[[#This Row],[Costo]])</f>
        <v>6.5</v>
      </c>
      <c r="K10" s="32" t="s">
        <v>164</v>
      </c>
      <c r="L10" s="32" t="s">
        <v>168</v>
      </c>
      <c r="M10" s="32" t="s">
        <v>166</v>
      </c>
      <c r="N10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1" spans="1:14" x14ac:dyDescent="0.3">
      <c r="A11" s="38">
        <v>46316</v>
      </c>
      <c r="B11" s="32">
        <v>3</v>
      </c>
      <c r="C11" s="32" t="s">
        <v>125</v>
      </c>
      <c r="D11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M</v>
      </c>
      <c r="E11" s="32">
        <v>1</v>
      </c>
      <c r="F11" s="36">
        <f>IF(tblVentas[[#This Row],[SKU]]="","",IFERROR(INDEX(tblProductos[Precio venta],MATCH(tblVentas[[#This Row],[SKU]],tblProductos[SKU],0)),0))</f>
        <v>12</v>
      </c>
      <c r="G11" s="33">
        <v>-3</v>
      </c>
      <c r="H11" s="36">
        <f>IF(OR(tblVentas[[#This Row],[SKU]]="",tblVentas[[#This Row],[Cantidad]]=""),"",tblVentas[[#This Row],[Cantidad]]*tblVentas[[#This Row],[Precio unitario]]-tblVentas[[#This Row],[Descuento]])</f>
        <v>15</v>
      </c>
      <c r="I11" s="36">
        <f>IF(OR(tblVentas[[#This Row],[SKU]]="",tblVentas[[#This Row],[Cantidad]]=""),"",tblVentas[[#This Row],[Cantidad]]*IFERROR(INDEX(tblProductos[Costo unitario],MATCH(tblVentas[[#This Row],[SKU]],tblProductos[SKU],0)),0))</f>
        <v>8.5</v>
      </c>
      <c r="J11" s="36">
        <f>IF(tblVentas[[#This Row],[Total venta]]="","",tblVentas[[#This Row],[Total venta]]-tblVentas[[#This Row],[Costo]])</f>
        <v>6.5</v>
      </c>
      <c r="K11" s="32" t="s">
        <v>164</v>
      </c>
      <c r="L11" s="32" t="s">
        <v>168</v>
      </c>
      <c r="M11" s="32" t="s">
        <v>166</v>
      </c>
      <c r="N11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2" spans="1:14" x14ac:dyDescent="0.3">
      <c r="A12" s="38">
        <v>46312</v>
      </c>
      <c r="B12" s="32">
        <v>4</v>
      </c>
      <c r="C12" s="32" t="s">
        <v>127</v>
      </c>
      <c r="D12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L</v>
      </c>
      <c r="E12" s="32">
        <v>1</v>
      </c>
      <c r="F12" s="36">
        <f>IF(tblVentas[[#This Row],[SKU]]="","",IFERROR(INDEX(tblProductos[Precio venta],MATCH(tblVentas[[#This Row],[SKU]],tblProductos[SKU],0)),0))</f>
        <v>12</v>
      </c>
      <c r="G12" s="33">
        <v>0</v>
      </c>
      <c r="H12" s="36">
        <f>IF(OR(tblVentas[[#This Row],[SKU]]="",tblVentas[[#This Row],[Cantidad]]=""),"",tblVentas[[#This Row],[Cantidad]]*tblVentas[[#This Row],[Precio unitario]]-tblVentas[[#This Row],[Descuento]])</f>
        <v>12</v>
      </c>
      <c r="I12" s="36">
        <f>IF(OR(tblVentas[[#This Row],[SKU]]="",tblVentas[[#This Row],[Cantidad]]=""),"",tblVentas[[#This Row],[Cantidad]]*IFERROR(INDEX(tblProductos[Costo unitario],MATCH(tblVentas[[#This Row],[SKU]],tblProductos[SKU],0)),0))</f>
        <v>8.5</v>
      </c>
      <c r="J12" s="36">
        <f>IF(tblVentas[[#This Row],[Total venta]]="","",tblVentas[[#This Row],[Total venta]]-tblVentas[[#This Row],[Costo]])</f>
        <v>3.5</v>
      </c>
      <c r="K12" s="32" t="s">
        <v>164</v>
      </c>
      <c r="L12" s="32" t="s">
        <v>169</v>
      </c>
      <c r="M12" s="32" t="s">
        <v>166</v>
      </c>
      <c r="N12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3" spans="1:14" x14ac:dyDescent="0.3">
      <c r="A13" s="38">
        <v>46316</v>
      </c>
      <c r="B13" s="32">
        <v>5</v>
      </c>
      <c r="C13" s="32" t="s">
        <v>125</v>
      </c>
      <c r="D13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M</v>
      </c>
      <c r="E13" s="32">
        <v>1</v>
      </c>
      <c r="F13" s="36">
        <f>IF(tblVentas[[#This Row],[SKU]]="","",IFERROR(INDEX(tblProductos[Precio venta],MATCH(tblVentas[[#This Row],[SKU]],tblProductos[SKU],0)),0))</f>
        <v>12</v>
      </c>
      <c r="G13" s="33">
        <v>-3</v>
      </c>
      <c r="H13" s="36">
        <f>IF(OR(tblVentas[[#This Row],[SKU]]="",tblVentas[[#This Row],[Cantidad]]=""),"",tblVentas[[#This Row],[Cantidad]]*tblVentas[[#This Row],[Precio unitario]]-tblVentas[[#This Row],[Descuento]])</f>
        <v>15</v>
      </c>
      <c r="I13" s="36">
        <f>IF(OR(tblVentas[[#This Row],[SKU]]="",tblVentas[[#This Row],[Cantidad]]=""),"",tblVentas[[#This Row],[Cantidad]]*IFERROR(INDEX(tblProductos[Costo unitario],MATCH(tblVentas[[#This Row],[SKU]],tblProductos[SKU],0)),0))</f>
        <v>8.5</v>
      </c>
      <c r="J13" s="36">
        <f>IF(tblVentas[[#This Row],[Total venta]]="","",tblVentas[[#This Row],[Total venta]]-tblVentas[[#This Row],[Costo]])</f>
        <v>6.5</v>
      </c>
      <c r="K13" s="32" t="s">
        <v>164</v>
      </c>
      <c r="L13" s="32" t="s">
        <v>170</v>
      </c>
      <c r="M13" s="32" t="s">
        <v>166</v>
      </c>
      <c r="N13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4" spans="1:14" x14ac:dyDescent="0.3">
      <c r="A14" s="38">
        <v>46316</v>
      </c>
      <c r="B14" s="32">
        <v>5</v>
      </c>
      <c r="C14" s="32" t="s">
        <v>121</v>
      </c>
      <c r="D14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S</v>
      </c>
      <c r="E14" s="32">
        <v>1</v>
      </c>
      <c r="F14" s="36">
        <f>IF(tblVentas[[#This Row],[SKU]]="","",IFERROR(INDEX(tblProductos[Precio venta],MATCH(tblVentas[[#This Row],[SKU]],tblProductos[SKU],0)),0))</f>
        <v>12</v>
      </c>
      <c r="G14" s="33">
        <v>0</v>
      </c>
      <c r="H14" s="36">
        <f>IF(OR(tblVentas[[#This Row],[SKU]]="",tblVentas[[#This Row],[Cantidad]]=""),"",tblVentas[[#This Row],[Cantidad]]*tblVentas[[#This Row],[Precio unitario]]-tblVentas[[#This Row],[Descuento]])</f>
        <v>12</v>
      </c>
      <c r="I14" s="36">
        <f>IF(OR(tblVentas[[#This Row],[SKU]]="",tblVentas[[#This Row],[Cantidad]]=""),"",tblVentas[[#This Row],[Cantidad]]*IFERROR(INDEX(tblProductos[Costo unitario],MATCH(tblVentas[[#This Row],[SKU]],tblProductos[SKU],0)),0))</f>
        <v>8.5</v>
      </c>
      <c r="J14" s="36">
        <f>IF(tblVentas[[#This Row],[Total venta]]="","",tblVentas[[#This Row],[Total venta]]-tblVentas[[#This Row],[Costo]])</f>
        <v>3.5</v>
      </c>
      <c r="K14" s="32" t="s">
        <v>164</v>
      </c>
      <c r="L14" s="32" t="s">
        <v>170</v>
      </c>
      <c r="M14" s="32" t="s">
        <v>171</v>
      </c>
      <c r="N14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5" spans="1:14" x14ac:dyDescent="0.3">
      <c r="A15" s="38">
        <v>46321</v>
      </c>
      <c r="B15" s="32">
        <v>6</v>
      </c>
      <c r="C15" s="32" t="s">
        <v>138</v>
      </c>
      <c r="D15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12</v>
      </c>
      <c r="E15" s="32">
        <v>8</v>
      </c>
      <c r="F15" s="36">
        <f>IF(tblVentas[[#This Row],[SKU]]="","",IFERROR(INDEX(tblProductos[Precio venta],MATCH(tblVentas[[#This Row],[SKU]],tblProductos[SKU],0)),0))</f>
        <v>10</v>
      </c>
      <c r="G15" s="33">
        <v>0</v>
      </c>
      <c r="H15" s="36">
        <f>IF(OR(tblVentas[[#This Row],[SKU]]="",tblVentas[[#This Row],[Cantidad]]=""),"",tblVentas[[#This Row],[Cantidad]]*tblVentas[[#This Row],[Precio unitario]]-tblVentas[[#This Row],[Descuento]])</f>
        <v>80</v>
      </c>
      <c r="I15" s="36">
        <f>IF(OR(tblVentas[[#This Row],[SKU]]="",tblVentas[[#This Row],[Cantidad]]=""),"",tblVentas[[#This Row],[Cantidad]]*IFERROR(INDEX(tblProductos[Costo unitario],MATCH(tblVentas[[#This Row],[SKU]],tblProductos[SKU],0)),0))</f>
        <v>40</v>
      </c>
      <c r="J15" s="36">
        <f>IF(tblVentas[[#This Row],[Total venta]]="","",tblVentas[[#This Row],[Total venta]]-tblVentas[[#This Row],[Costo]])</f>
        <v>40</v>
      </c>
      <c r="K15" s="32"/>
      <c r="L15" s="32" t="s">
        <v>172</v>
      </c>
      <c r="M15" s="32" t="s">
        <v>166</v>
      </c>
      <c r="N15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6" spans="1:14" x14ac:dyDescent="0.3">
      <c r="A16" s="38">
        <v>46321</v>
      </c>
      <c r="B16" s="32">
        <v>6</v>
      </c>
      <c r="C16" s="32" t="s">
        <v>140</v>
      </c>
      <c r="D16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Hombre S</v>
      </c>
      <c r="E16" s="32">
        <v>3</v>
      </c>
      <c r="F16" s="36">
        <f>IF(tblVentas[[#This Row],[SKU]]="","",IFERROR(INDEX(tblProductos[Precio venta],MATCH(tblVentas[[#This Row],[SKU]],tblProductos[SKU],0)),0))</f>
        <v>12</v>
      </c>
      <c r="G16" s="33">
        <v>-4</v>
      </c>
      <c r="H16" s="36">
        <f>IF(OR(tblVentas[[#This Row],[SKU]]="",tblVentas[[#This Row],[Cantidad]]=""),"",tblVentas[[#This Row],[Cantidad]]*tblVentas[[#This Row],[Precio unitario]]-tblVentas[[#This Row],[Descuento]])</f>
        <v>40</v>
      </c>
      <c r="I16" s="36">
        <f>IF(OR(tblVentas[[#This Row],[SKU]]="",tblVentas[[#This Row],[Cantidad]]=""),"",tblVentas[[#This Row],[Cantidad]]*IFERROR(INDEX(tblProductos[Costo unitario],MATCH(tblVentas[[#This Row],[SKU]],tblProductos[SKU],0)),0))</f>
        <v>26.25</v>
      </c>
      <c r="J16" s="36">
        <f>IF(tblVentas[[#This Row],[Total venta]]="","",tblVentas[[#This Row],[Total venta]]-tblVentas[[#This Row],[Costo]])</f>
        <v>13.75</v>
      </c>
      <c r="K16" s="32"/>
      <c r="L16" s="32" t="s">
        <v>172</v>
      </c>
      <c r="M16" s="32" t="s">
        <v>166</v>
      </c>
      <c r="N16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7" spans="1:14" x14ac:dyDescent="0.3">
      <c r="A17" s="38">
        <v>46321</v>
      </c>
      <c r="B17" s="32">
        <v>7</v>
      </c>
      <c r="C17" s="32" t="s">
        <v>135</v>
      </c>
      <c r="D17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6</v>
      </c>
      <c r="E17" s="32">
        <v>1</v>
      </c>
      <c r="F17" s="36">
        <f>IF(tblVentas[[#This Row],[SKU]]="","",IFERROR(INDEX(tblProductos[Precio venta],MATCH(tblVentas[[#This Row],[SKU]],tblProductos[SKU],0)),0))</f>
        <v>10</v>
      </c>
      <c r="G17" s="33">
        <v>1</v>
      </c>
      <c r="H17" s="36">
        <f>IF(OR(tblVentas[[#This Row],[SKU]]="",tblVentas[[#This Row],[Cantidad]]=""),"",tblVentas[[#This Row],[Cantidad]]*tblVentas[[#This Row],[Precio unitario]]-tblVentas[[#This Row],[Descuento]])</f>
        <v>9</v>
      </c>
      <c r="I17" s="36">
        <f>IF(OR(tblVentas[[#This Row],[SKU]]="",tblVentas[[#This Row],[Cantidad]]=""),"",tblVentas[[#This Row],[Cantidad]]*IFERROR(INDEX(tblProductos[Costo unitario],MATCH(tblVentas[[#This Row],[SKU]],tblProductos[SKU],0)),0))</f>
        <v>5</v>
      </c>
      <c r="J17" s="36">
        <f>IF(tblVentas[[#This Row],[Total venta]]="","",tblVentas[[#This Row],[Total venta]]-tblVentas[[#This Row],[Costo]])</f>
        <v>4</v>
      </c>
      <c r="K17" s="32"/>
      <c r="L17" s="32" t="s">
        <v>172</v>
      </c>
      <c r="M17" s="32" t="s">
        <v>171</v>
      </c>
      <c r="N17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8" spans="1:14" x14ac:dyDescent="0.3">
      <c r="A18" s="38">
        <v>46321</v>
      </c>
      <c r="B18" s="32">
        <v>7</v>
      </c>
      <c r="C18" s="32" t="s">
        <v>136</v>
      </c>
      <c r="D18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8</v>
      </c>
      <c r="E18" s="32">
        <v>2</v>
      </c>
      <c r="F18" s="36">
        <f>IF(tblVentas[[#This Row],[SKU]]="","",IFERROR(INDEX(tblProductos[Precio venta],MATCH(tblVentas[[#This Row],[SKU]],tblProductos[SKU],0)),0))</f>
        <v>10</v>
      </c>
      <c r="G18" s="33">
        <v>2</v>
      </c>
      <c r="H18" s="36">
        <f>IF(OR(tblVentas[[#This Row],[SKU]]="",tblVentas[[#This Row],[Cantidad]]=""),"",tblVentas[[#This Row],[Cantidad]]*tblVentas[[#This Row],[Precio unitario]]-tblVentas[[#This Row],[Descuento]])</f>
        <v>18</v>
      </c>
      <c r="I18" s="36">
        <f>IF(OR(tblVentas[[#This Row],[SKU]]="",tblVentas[[#This Row],[Cantidad]]=""),"",tblVentas[[#This Row],[Cantidad]]*IFERROR(INDEX(tblProductos[Costo unitario],MATCH(tblVentas[[#This Row],[SKU]],tblProductos[SKU],0)),0))</f>
        <v>10</v>
      </c>
      <c r="J18" s="36">
        <f>IF(tblVentas[[#This Row],[Total venta]]="","",tblVentas[[#This Row],[Total venta]]-tblVentas[[#This Row],[Costo]])</f>
        <v>8</v>
      </c>
      <c r="K18" s="32"/>
      <c r="L18" s="32" t="s">
        <v>172</v>
      </c>
      <c r="M18" s="32" t="s">
        <v>171</v>
      </c>
      <c r="N18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19" spans="1:14" x14ac:dyDescent="0.3">
      <c r="A19" s="38">
        <v>46321</v>
      </c>
      <c r="B19" s="32">
        <v>7</v>
      </c>
      <c r="C19" s="32" t="s">
        <v>137</v>
      </c>
      <c r="D19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10</v>
      </c>
      <c r="E19" s="32">
        <v>2</v>
      </c>
      <c r="F19" s="36">
        <f>IF(tblVentas[[#This Row],[SKU]]="","",IFERROR(INDEX(tblProductos[Precio venta],MATCH(tblVentas[[#This Row],[SKU]],tblProductos[SKU],0)),0))</f>
        <v>10</v>
      </c>
      <c r="G19" s="33">
        <v>2</v>
      </c>
      <c r="H19" s="36">
        <f>IF(OR(tblVentas[[#This Row],[SKU]]="",tblVentas[[#This Row],[Cantidad]]=""),"",tblVentas[[#This Row],[Cantidad]]*tblVentas[[#This Row],[Precio unitario]]-tblVentas[[#This Row],[Descuento]])</f>
        <v>18</v>
      </c>
      <c r="I19" s="36">
        <f>IF(OR(tblVentas[[#This Row],[SKU]]="",tblVentas[[#This Row],[Cantidad]]=""),"",tblVentas[[#This Row],[Cantidad]]*IFERROR(INDEX(tblProductos[Costo unitario],MATCH(tblVentas[[#This Row],[SKU]],tblProductos[SKU],0)),0))</f>
        <v>10</v>
      </c>
      <c r="J19" s="36">
        <f>IF(tblVentas[[#This Row],[Total venta]]="","",tblVentas[[#This Row],[Total venta]]-tblVentas[[#This Row],[Costo]])</f>
        <v>8</v>
      </c>
      <c r="K19" s="32"/>
      <c r="L19" s="32" t="s">
        <v>172</v>
      </c>
      <c r="M19" s="32" t="s">
        <v>171</v>
      </c>
      <c r="N19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0" spans="1:14" x14ac:dyDescent="0.3">
      <c r="A20" s="38">
        <v>46321</v>
      </c>
      <c r="B20" s="32">
        <v>7</v>
      </c>
      <c r="C20" s="32" t="s">
        <v>139</v>
      </c>
      <c r="D20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14</v>
      </c>
      <c r="E20" s="32">
        <v>2</v>
      </c>
      <c r="F20" s="36">
        <f>IF(tblVentas[[#This Row],[SKU]]="","",IFERROR(INDEX(tblProductos[Precio venta],MATCH(tblVentas[[#This Row],[SKU]],tblProductos[SKU],0)),0))</f>
        <v>10</v>
      </c>
      <c r="G20" s="33">
        <v>2</v>
      </c>
      <c r="H20" s="36">
        <f>IF(OR(tblVentas[[#This Row],[SKU]]="",tblVentas[[#This Row],[Cantidad]]=""),"",tblVentas[[#This Row],[Cantidad]]*tblVentas[[#This Row],[Precio unitario]]-tblVentas[[#This Row],[Descuento]])</f>
        <v>18</v>
      </c>
      <c r="I20" s="36">
        <f>IF(OR(tblVentas[[#This Row],[SKU]]="",tblVentas[[#This Row],[Cantidad]]=""),"",tblVentas[[#This Row],[Cantidad]]*IFERROR(INDEX(tblProductos[Costo unitario],MATCH(tblVentas[[#This Row],[SKU]],tblProductos[SKU],0)),0))</f>
        <v>10</v>
      </c>
      <c r="J20" s="36">
        <f>IF(tblVentas[[#This Row],[Total venta]]="","",tblVentas[[#This Row],[Total venta]]-tblVentas[[#This Row],[Costo]])</f>
        <v>8</v>
      </c>
      <c r="K20" s="32"/>
      <c r="L20" s="32" t="s">
        <v>172</v>
      </c>
      <c r="M20" s="32" t="s">
        <v>171</v>
      </c>
      <c r="N20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1" spans="1:14" x14ac:dyDescent="0.3">
      <c r="A21" s="38">
        <v>46321</v>
      </c>
      <c r="B21" s="32">
        <v>7</v>
      </c>
      <c r="C21" s="32" t="s">
        <v>121</v>
      </c>
      <c r="D21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S</v>
      </c>
      <c r="E21" s="32">
        <v>1</v>
      </c>
      <c r="F21" s="36">
        <f>IF(tblVentas[[#This Row],[SKU]]="","",IFERROR(INDEX(tblProductos[Precio venta],MATCH(tblVentas[[#This Row],[SKU]],tblProductos[SKU],0)),0))</f>
        <v>12</v>
      </c>
      <c r="G21" s="33">
        <v>0</v>
      </c>
      <c r="H21" s="36">
        <f>IF(OR(tblVentas[[#This Row],[SKU]]="",tblVentas[[#This Row],[Cantidad]]=""),"",tblVentas[[#This Row],[Cantidad]]*tblVentas[[#This Row],[Precio unitario]]-tblVentas[[#This Row],[Descuento]])</f>
        <v>12</v>
      </c>
      <c r="I21" s="36">
        <f>IF(OR(tblVentas[[#This Row],[SKU]]="",tblVentas[[#This Row],[Cantidad]]=""),"",tblVentas[[#This Row],[Cantidad]]*IFERROR(INDEX(tblProductos[Costo unitario],MATCH(tblVentas[[#This Row],[SKU]],tblProductos[SKU],0)),0))</f>
        <v>8.5</v>
      </c>
      <c r="J21" s="36">
        <f>IF(tblVentas[[#This Row],[Total venta]]="","",tblVentas[[#This Row],[Total venta]]-tblVentas[[#This Row],[Costo]])</f>
        <v>3.5</v>
      </c>
      <c r="K21" s="32"/>
      <c r="L21" s="32" t="s">
        <v>172</v>
      </c>
      <c r="M21" s="32" t="s">
        <v>171</v>
      </c>
      <c r="N21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2" spans="1:14" x14ac:dyDescent="0.3">
      <c r="A22" s="38">
        <v>46321</v>
      </c>
      <c r="B22" s="32">
        <v>7</v>
      </c>
      <c r="C22" s="32" t="s">
        <v>125</v>
      </c>
      <c r="D22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M</v>
      </c>
      <c r="E22" s="32">
        <v>1</v>
      </c>
      <c r="F22" s="36">
        <f>IF(tblVentas[[#This Row],[SKU]]="","",IFERROR(INDEX(tblProductos[Precio venta],MATCH(tblVentas[[#This Row],[SKU]],tblProductos[SKU],0)),0))</f>
        <v>12</v>
      </c>
      <c r="G22" s="33">
        <v>0</v>
      </c>
      <c r="H22" s="36">
        <f>IF(OR(tblVentas[[#This Row],[SKU]]="",tblVentas[[#This Row],[Cantidad]]=""),"",tblVentas[[#This Row],[Cantidad]]*tblVentas[[#This Row],[Precio unitario]]-tblVentas[[#This Row],[Descuento]])</f>
        <v>12</v>
      </c>
      <c r="I22" s="36">
        <f>IF(OR(tblVentas[[#This Row],[SKU]]="",tblVentas[[#This Row],[Cantidad]]=""),"",tblVentas[[#This Row],[Cantidad]]*IFERROR(INDEX(tblProductos[Costo unitario],MATCH(tblVentas[[#This Row],[SKU]],tblProductos[SKU],0)),0))</f>
        <v>8.5</v>
      </c>
      <c r="J22" s="36">
        <f>IF(tblVentas[[#This Row],[Total venta]]="","",tblVentas[[#This Row],[Total venta]]-tblVentas[[#This Row],[Costo]])</f>
        <v>3.5</v>
      </c>
      <c r="K22" s="32"/>
      <c r="L22" s="32" t="s">
        <v>172</v>
      </c>
      <c r="M22" s="32" t="s">
        <v>171</v>
      </c>
      <c r="N22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3" spans="1:14" x14ac:dyDescent="0.3">
      <c r="A23" s="38">
        <v>46321</v>
      </c>
      <c r="B23" s="32">
        <v>7</v>
      </c>
      <c r="C23" s="32" t="s">
        <v>129</v>
      </c>
      <c r="D23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Mujer XL</v>
      </c>
      <c r="E23" s="32">
        <v>2</v>
      </c>
      <c r="F23" s="36">
        <f>IF(tblVentas[[#This Row],[SKU]]="","",IFERROR(INDEX(tblProductos[Precio venta],MATCH(tblVentas[[#This Row],[SKU]],tblProductos[SKU],0)),0))</f>
        <v>12</v>
      </c>
      <c r="G23" s="33">
        <v>1</v>
      </c>
      <c r="H23" s="36">
        <f>IF(OR(tblVentas[[#This Row],[SKU]]="",tblVentas[[#This Row],[Cantidad]]=""),"",tblVentas[[#This Row],[Cantidad]]*tblVentas[[#This Row],[Precio unitario]]-tblVentas[[#This Row],[Descuento]])</f>
        <v>23</v>
      </c>
      <c r="I23" s="36">
        <f>IF(OR(tblVentas[[#This Row],[SKU]]="",tblVentas[[#This Row],[Cantidad]]=""),"",tblVentas[[#This Row],[Cantidad]]*IFERROR(INDEX(tblProductos[Costo unitario],MATCH(tblVentas[[#This Row],[SKU]],tblProductos[SKU],0)),0))</f>
        <v>17</v>
      </c>
      <c r="J23" s="36">
        <f>IF(tblVentas[[#This Row],[Total venta]]="","",tblVentas[[#This Row],[Total venta]]-tblVentas[[#This Row],[Costo]])</f>
        <v>6</v>
      </c>
      <c r="K23" s="32"/>
      <c r="L23" s="32" t="s">
        <v>172</v>
      </c>
      <c r="M23" s="32" t="s">
        <v>171</v>
      </c>
      <c r="N23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4" spans="1:14" x14ac:dyDescent="0.3">
      <c r="A24" s="38">
        <v>46321</v>
      </c>
      <c r="B24" s="32">
        <v>7</v>
      </c>
      <c r="C24" s="32" t="s">
        <v>143</v>
      </c>
      <c r="D24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Hombre L</v>
      </c>
      <c r="E24" s="32">
        <v>2</v>
      </c>
      <c r="F24" s="36">
        <f>IF(tblVentas[[#This Row],[SKU]]="","",IFERROR(INDEX(tblProductos[Precio venta],MATCH(tblVentas[[#This Row],[SKU]],tblProductos[SKU],0)),0))</f>
        <v>12</v>
      </c>
      <c r="G24" s="33">
        <v>1</v>
      </c>
      <c r="H24" s="36">
        <f>IF(OR(tblVentas[[#This Row],[SKU]]="",tblVentas[[#This Row],[Cantidad]]=""),"",tblVentas[[#This Row],[Cantidad]]*tblVentas[[#This Row],[Precio unitario]]-tblVentas[[#This Row],[Descuento]])</f>
        <v>23</v>
      </c>
      <c r="I24" s="36">
        <f>IF(OR(tblVentas[[#This Row],[SKU]]="",tblVentas[[#This Row],[Cantidad]]=""),"",tblVentas[[#This Row],[Cantidad]]*IFERROR(INDEX(tblProductos[Costo unitario],MATCH(tblVentas[[#This Row],[SKU]],tblProductos[SKU],0)),0))</f>
        <v>17.5</v>
      </c>
      <c r="J24" s="36">
        <f>IF(tblVentas[[#This Row],[Total venta]]="","",tblVentas[[#This Row],[Total venta]]-tblVentas[[#This Row],[Costo]])</f>
        <v>5.5</v>
      </c>
      <c r="K24" s="32"/>
      <c r="L24" s="32" t="s">
        <v>172</v>
      </c>
      <c r="M24" s="32" t="s">
        <v>171</v>
      </c>
      <c r="N24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5" spans="1:14" x14ac:dyDescent="0.3">
      <c r="A25" s="38">
        <v>46321</v>
      </c>
      <c r="B25" s="32">
        <v>7</v>
      </c>
      <c r="C25" s="32" t="s">
        <v>144</v>
      </c>
      <c r="D25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Hombre XL</v>
      </c>
      <c r="E25" s="32">
        <v>2</v>
      </c>
      <c r="F25" s="36">
        <f>IF(tblVentas[[#This Row],[SKU]]="","",IFERROR(INDEX(tblProductos[Precio venta],MATCH(tblVentas[[#This Row],[SKU]],tblProductos[SKU],0)),0))</f>
        <v>12</v>
      </c>
      <c r="G25" s="33">
        <v>1</v>
      </c>
      <c r="H25" s="36">
        <f>IF(OR(tblVentas[[#This Row],[SKU]]="",tblVentas[[#This Row],[Cantidad]]=""),"",tblVentas[[#This Row],[Cantidad]]*tblVentas[[#This Row],[Precio unitario]]-tblVentas[[#This Row],[Descuento]])</f>
        <v>23</v>
      </c>
      <c r="I25" s="36">
        <f>IF(OR(tblVentas[[#This Row],[SKU]]="",tblVentas[[#This Row],[Cantidad]]=""),"",tblVentas[[#This Row],[Cantidad]]*IFERROR(INDEX(tblProductos[Costo unitario],MATCH(tblVentas[[#This Row],[SKU]],tblProductos[SKU],0)),0))</f>
        <v>17.5</v>
      </c>
      <c r="J25" s="36">
        <f>IF(tblVentas[[#This Row],[Total venta]]="","",tblVentas[[#This Row],[Total venta]]-tblVentas[[#This Row],[Costo]])</f>
        <v>5.5</v>
      </c>
      <c r="K25" s="32"/>
      <c r="L25" s="32" t="s">
        <v>172</v>
      </c>
      <c r="M25" s="32" t="s">
        <v>171</v>
      </c>
      <c r="N25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6" spans="1:14" x14ac:dyDescent="0.3">
      <c r="A26" s="38">
        <v>46321</v>
      </c>
      <c r="B26" s="32">
        <v>7</v>
      </c>
      <c r="C26" s="32" t="s">
        <v>145</v>
      </c>
      <c r="D26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Hombre XXL</v>
      </c>
      <c r="E26" s="32">
        <v>2</v>
      </c>
      <c r="F26" s="36">
        <f>IF(tblVentas[[#This Row],[SKU]]="","",IFERROR(INDEX(tblProductos[Precio venta],MATCH(tblVentas[[#This Row],[SKU]],tblProductos[SKU],0)),0))</f>
        <v>12</v>
      </c>
      <c r="G26" s="33">
        <v>1</v>
      </c>
      <c r="H26" s="36">
        <f>IF(OR(tblVentas[[#This Row],[SKU]]="",tblVentas[[#This Row],[Cantidad]]=""),"",tblVentas[[#This Row],[Cantidad]]*tblVentas[[#This Row],[Precio unitario]]-tblVentas[[#This Row],[Descuento]])</f>
        <v>23</v>
      </c>
      <c r="I26" s="36">
        <f>IF(OR(tblVentas[[#This Row],[SKU]]="",tblVentas[[#This Row],[Cantidad]]=""),"",tblVentas[[#This Row],[Cantidad]]*IFERROR(INDEX(tblProductos[Costo unitario],MATCH(tblVentas[[#This Row],[SKU]],tblProductos[SKU],0)),0))</f>
        <v>17.5</v>
      </c>
      <c r="J26" s="36">
        <f>IF(tblVentas[[#This Row],[Total venta]]="","",tblVentas[[#This Row],[Total venta]]-tblVentas[[#This Row],[Costo]])</f>
        <v>5.5</v>
      </c>
      <c r="K26" s="32"/>
      <c r="L26" s="32" t="s">
        <v>172</v>
      </c>
      <c r="M26" s="32" t="s">
        <v>171</v>
      </c>
      <c r="N26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7" spans="1:14" x14ac:dyDescent="0.3">
      <c r="A27" s="38">
        <v>46323</v>
      </c>
      <c r="B27" s="32" t="s">
        <v>173</v>
      </c>
      <c r="C27" s="32" t="s">
        <v>137</v>
      </c>
      <c r="D27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10</v>
      </c>
      <c r="E27" s="32">
        <v>1</v>
      </c>
      <c r="F27" s="36">
        <f>IF(tblVentas[[#This Row],[SKU]]="","",IFERROR(INDEX(tblProductos[Precio venta],MATCH(tblVentas[[#This Row],[SKU]],tblProductos[SKU],0)),0))</f>
        <v>10</v>
      </c>
      <c r="G27" s="33">
        <v>1</v>
      </c>
      <c r="H27" s="36">
        <f>IF(OR(tblVentas[[#This Row],[SKU]]="",tblVentas[[#This Row],[Cantidad]]=""),"",tblVentas[[#This Row],[Cantidad]]*tblVentas[[#This Row],[Precio unitario]]-tblVentas[[#This Row],[Descuento]])</f>
        <v>9</v>
      </c>
      <c r="I27" s="36">
        <f>IF(OR(tblVentas[[#This Row],[SKU]]="",tblVentas[[#This Row],[Cantidad]]=""),"",tblVentas[[#This Row],[Cantidad]]*IFERROR(INDEX(tblProductos[Costo unitario],MATCH(tblVentas[[#This Row],[SKU]],tblProductos[SKU],0)),0))</f>
        <v>5</v>
      </c>
      <c r="J27" s="36">
        <f>IF(tblVentas[[#This Row],[Total venta]]="","",tblVentas[[#This Row],[Total venta]]-tblVentas[[#This Row],[Costo]])</f>
        <v>4</v>
      </c>
      <c r="K27" s="32" t="s">
        <v>164</v>
      </c>
      <c r="L27" s="32" t="s">
        <v>174</v>
      </c>
      <c r="M27" s="32" t="s">
        <v>171</v>
      </c>
      <c r="N27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8" spans="1:14" x14ac:dyDescent="0.3">
      <c r="A28" s="38">
        <v>46323</v>
      </c>
      <c r="B28" s="32" t="s">
        <v>173</v>
      </c>
      <c r="C28" s="32" t="s">
        <v>136</v>
      </c>
      <c r="D28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8</v>
      </c>
      <c r="E28" s="32">
        <v>2</v>
      </c>
      <c r="F28" s="36">
        <f>IF(tblVentas[[#This Row],[SKU]]="","",IFERROR(INDEX(tblProductos[Precio venta],MATCH(tblVentas[[#This Row],[SKU]],tblProductos[SKU],0)),0))</f>
        <v>10</v>
      </c>
      <c r="G28" s="33">
        <v>2</v>
      </c>
      <c r="H28" s="36">
        <f>IF(OR(tblVentas[[#This Row],[SKU]]="",tblVentas[[#This Row],[Cantidad]]=""),"",tblVentas[[#This Row],[Cantidad]]*tblVentas[[#This Row],[Precio unitario]]-tblVentas[[#This Row],[Descuento]])</f>
        <v>18</v>
      </c>
      <c r="I28" s="36">
        <f>IF(OR(tblVentas[[#This Row],[SKU]]="",tblVentas[[#This Row],[Cantidad]]=""),"",tblVentas[[#This Row],[Cantidad]]*IFERROR(INDEX(tblProductos[Costo unitario],MATCH(tblVentas[[#This Row],[SKU]],tblProductos[SKU],0)),0))</f>
        <v>10</v>
      </c>
      <c r="J28" s="36">
        <f>IF(tblVentas[[#This Row],[Total venta]]="","",tblVentas[[#This Row],[Total venta]]-tblVentas[[#This Row],[Costo]])</f>
        <v>8</v>
      </c>
      <c r="K28" s="32" t="s">
        <v>164</v>
      </c>
      <c r="L28" s="32" t="s">
        <v>174</v>
      </c>
      <c r="M28" s="32" t="s">
        <v>171</v>
      </c>
      <c r="N28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29" spans="1:14" x14ac:dyDescent="0.3">
      <c r="A29" s="38">
        <v>46323</v>
      </c>
      <c r="B29" s="32" t="s">
        <v>175</v>
      </c>
      <c r="C29" s="32" t="s">
        <v>135</v>
      </c>
      <c r="D29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6</v>
      </c>
      <c r="E29" s="32">
        <v>1</v>
      </c>
      <c r="F29" s="36">
        <f>IF(tblVentas[[#This Row],[SKU]]="","",IFERROR(INDEX(tblProductos[Precio venta],MATCH(tblVentas[[#This Row],[SKU]],tblProductos[SKU],0)),0))</f>
        <v>10</v>
      </c>
      <c r="G29" s="33">
        <v>1</v>
      </c>
      <c r="H29" s="36">
        <f>IF(OR(tblVentas[[#This Row],[SKU]]="",tblVentas[[#This Row],[Cantidad]]=""),"",tblVentas[[#This Row],[Cantidad]]*tblVentas[[#This Row],[Precio unitario]]-tblVentas[[#This Row],[Descuento]])</f>
        <v>9</v>
      </c>
      <c r="I29" s="36">
        <f>IF(OR(tblVentas[[#This Row],[SKU]]="",tblVentas[[#This Row],[Cantidad]]=""),"",tblVentas[[#This Row],[Cantidad]]*IFERROR(INDEX(tblProductos[Costo unitario],MATCH(tblVentas[[#This Row],[SKU]],tblProductos[SKU],0)),0))</f>
        <v>5</v>
      </c>
      <c r="J29" s="36">
        <f>IF(tblVentas[[#This Row],[Total venta]]="","",tblVentas[[#This Row],[Total venta]]-tblVentas[[#This Row],[Costo]])</f>
        <v>4</v>
      </c>
      <c r="K29" s="32" t="s">
        <v>164</v>
      </c>
      <c r="L29" s="32" t="s">
        <v>174</v>
      </c>
      <c r="M29" s="32" t="s">
        <v>171</v>
      </c>
      <c r="N29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  <row r="30" spans="1:14" x14ac:dyDescent="0.3">
      <c r="A30" s="38">
        <v>46323</v>
      </c>
      <c r="B30" s="32" t="s">
        <v>176</v>
      </c>
      <c r="C30" s="32" t="s">
        <v>137</v>
      </c>
      <c r="D30" s="34" t="str">
        <f>IF(tblVentas[[#This Row],[SKU]]="","",IFERROR(INDEX(tblProductos[Producto],MATCH(tblVentas[[#This Row],[SKU]],tblProductos[SKU],0))&amp;" "&amp;INDEX(tblProductos[Talla],MATCH(tblVentas[[#This Row],[SKU]],tblProductos[SKU],0)),"SKU no existe"))</f>
        <v>Pijama Niño 10</v>
      </c>
      <c r="E30" s="32">
        <v>1</v>
      </c>
      <c r="F30" s="36">
        <f>IF(tblVentas[[#This Row],[SKU]]="","",IFERROR(INDEX(tblProductos[Precio venta],MATCH(tblVentas[[#This Row],[SKU]],tblProductos[SKU],0)),0))</f>
        <v>10</v>
      </c>
      <c r="G30" s="33">
        <v>0</v>
      </c>
      <c r="H30" s="36">
        <f>IF(OR(tblVentas[[#This Row],[SKU]]="",tblVentas[[#This Row],[Cantidad]]=""),"",tblVentas[[#This Row],[Cantidad]]*tblVentas[[#This Row],[Precio unitario]]-tblVentas[[#This Row],[Descuento]])</f>
        <v>10</v>
      </c>
      <c r="I30" s="36">
        <f>IF(OR(tblVentas[[#This Row],[SKU]]="",tblVentas[[#This Row],[Cantidad]]=""),"",tblVentas[[#This Row],[Cantidad]]*IFERROR(INDEX(tblProductos[Costo unitario],MATCH(tblVentas[[#This Row],[SKU]],tblProductos[SKU],0)),0))</f>
        <v>5</v>
      </c>
      <c r="J30" s="36">
        <f>IF(tblVentas[[#This Row],[Total venta]]="","",tblVentas[[#This Row],[Total venta]]-tblVentas[[#This Row],[Costo]])</f>
        <v>5</v>
      </c>
      <c r="K30" s="32" t="s">
        <v>177</v>
      </c>
      <c r="L30" s="32" t="s">
        <v>178</v>
      </c>
      <c r="M30" s="32" t="s">
        <v>171</v>
      </c>
      <c r="N30" s="34" t="str">
        <f>IF(tblVentas[[#This Row],[SKU]]="","",IF(ISNA(MATCH(tblVentas[[#This Row],[SKU]],tblProductos[SKU],0)),"SKU no registrado",IF(INDEX(tblProductos[Stock actual],MATCH(tblVentas[[#This Row],[SKU]],tblProductos[SKU],0))&lt;0,"Stock insuficiente","")))</f>
        <v/>
      </c>
    </row>
  </sheetData>
  <conditionalFormatting sqref="N5:N30">
    <cfRule type="expression" dxfId="0" priority="1">
      <formula>LEN($N5)&gt;0</formula>
    </cfRule>
  </conditionalFormatting>
  <dataValidations count="3">
    <dataValidation type="list" allowBlank="1" showErrorMessage="1" errorTitle="Valor no está en la lista" error="Elige un valor de la lista (si es un SKU nuevo, regístralo primero en Productos)." sqref="C5:C30" xr:uid="{00000000-0002-0000-0400-000000000000}">
      <formula1>ListaSKU</formula1>
    </dataValidation>
    <dataValidation type="list" allowBlank="1" showErrorMessage="1" errorTitle="Valor no está en la lista" error="Elige un valor de la lista (si es un SKU nuevo, regístralo primero en Productos)." sqref="K5:K30" xr:uid="{00000000-0002-0000-0400-000001000000}">
      <formula1>ListaCanales</formula1>
    </dataValidation>
    <dataValidation type="list" allowBlank="1" showErrorMessage="1" errorTitle="Valor no está en la lista" error="Elige un valor de la lista (si es un SKU nuevo, regístralo primero en Productos)." sqref="M5:M30" xr:uid="{00000000-0002-0000-0400-000002000000}">
      <formula1>ListaEstados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5B33"/>
  </sheetPr>
  <dimension ref="A1:D7"/>
  <sheetViews>
    <sheetView workbookViewId="0">
      <pane ySplit="4" topLeftCell="A5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13" customWidth="1"/>
    <col min="2" max="2" width="40" customWidth="1"/>
    <col min="3" max="3" width="24" customWidth="1"/>
    <col min="4" max="4" width="14" customWidth="1"/>
  </cols>
  <sheetData>
    <row r="1" spans="1:4" ht="21" x14ac:dyDescent="0.4">
      <c r="A1" s="21" t="s">
        <v>179</v>
      </c>
    </row>
    <row r="2" spans="1:4" x14ac:dyDescent="0.3">
      <c r="A2" s="22" t="s">
        <v>180</v>
      </c>
    </row>
    <row r="4" spans="1:4" ht="31.95" customHeight="1" x14ac:dyDescent="0.3">
      <c r="A4" s="30" t="s">
        <v>148</v>
      </c>
      <c r="B4" s="30" t="s">
        <v>181</v>
      </c>
      <c r="C4" s="30" t="s">
        <v>182</v>
      </c>
      <c r="D4" s="30" t="s">
        <v>183</v>
      </c>
    </row>
    <row r="5" spans="1:4" x14ac:dyDescent="0.3">
      <c r="A5" s="38">
        <v>46313</v>
      </c>
      <c r="B5" s="32" t="s">
        <v>184</v>
      </c>
      <c r="C5" s="32" t="s">
        <v>185</v>
      </c>
      <c r="D5" s="33">
        <v>3.5</v>
      </c>
    </row>
    <row r="6" spans="1:4" x14ac:dyDescent="0.3">
      <c r="A6" s="38">
        <v>46310</v>
      </c>
      <c r="B6" s="32" t="s">
        <v>186</v>
      </c>
      <c r="C6" s="32" t="s">
        <v>187</v>
      </c>
      <c r="D6" s="33">
        <v>5</v>
      </c>
    </row>
    <row r="7" spans="1:4" x14ac:dyDescent="0.3">
      <c r="A7" s="38">
        <v>46314</v>
      </c>
      <c r="B7" s="32" t="s">
        <v>188</v>
      </c>
      <c r="C7" s="32" t="s">
        <v>189</v>
      </c>
      <c r="D7" s="33">
        <v>4.5</v>
      </c>
    </row>
  </sheetData>
  <dataValidations count="1">
    <dataValidation type="list" allowBlank="1" showErrorMessage="1" errorTitle="Valor no está en la lista" error="Elige un valor de la lista (si es un SKU nuevo, regístralo primero en Productos)." sqref="C5:C7" xr:uid="{00000000-0002-0000-0500-000000000000}">
      <formula1>ListaCategorias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AF37"/>
  </sheetPr>
  <dimension ref="A1:D7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46" customWidth="1"/>
    <col min="3" max="3" width="18" customWidth="1"/>
    <col min="4" max="4" width="14" customWidth="1"/>
  </cols>
  <sheetData>
    <row r="1" spans="1:4" ht="21" x14ac:dyDescent="0.4">
      <c r="A1" s="21" t="s">
        <v>190</v>
      </c>
    </row>
    <row r="2" spans="1:4" x14ac:dyDescent="0.3">
      <c r="A2" s="22" t="s">
        <v>191</v>
      </c>
    </row>
    <row r="4" spans="1:4" ht="31.95" customHeight="1" x14ac:dyDescent="0.3">
      <c r="A4" s="30" t="s">
        <v>148</v>
      </c>
      <c r="B4" s="30" t="s">
        <v>181</v>
      </c>
      <c r="C4" s="30" t="s">
        <v>192</v>
      </c>
      <c r="D4" s="30" t="s">
        <v>183</v>
      </c>
    </row>
    <row r="5" spans="1:4" x14ac:dyDescent="0.3">
      <c r="A5" s="38">
        <v>46317</v>
      </c>
      <c r="B5" s="32" t="s">
        <v>193</v>
      </c>
      <c r="C5" s="32" t="s">
        <v>194</v>
      </c>
      <c r="D5" s="33">
        <v>24</v>
      </c>
    </row>
    <row r="6" spans="1:4" x14ac:dyDescent="0.3">
      <c r="A6" s="38">
        <v>46318</v>
      </c>
      <c r="B6" s="32" t="s">
        <v>195</v>
      </c>
      <c r="C6" s="32" t="s">
        <v>194</v>
      </c>
      <c r="D6" s="33">
        <v>24</v>
      </c>
    </row>
    <row r="7" spans="1:4" x14ac:dyDescent="0.3">
      <c r="A7" s="38">
        <v>46320</v>
      </c>
      <c r="B7" s="32" t="s">
        <v>196</v>
      </c>
      <c r="C7" s="32" t="s">
        <v>197</v>
      </c>
      <c r="D7" s="33">
        <v>3</v>
      </c>
    </row>
  </sheetData>
  <dataValidations count="1">
    <dataValidation type="list" allowBlank="1" showErrorMessage="1" errorTitle="Valor no está en la lista" error="Elige un valor de la lista (si es un SKU nuevo, regístralo primero en Productos)." sqref="C5:C7" xr:uid="{00000000-0002-0000-0600-000000000000}">
      <formula1>ListaMotivos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F37"/>
  </sheetPr>
  <dimension ref="A1:I10"/>
  <sheetViews>
    <sheetView workbookViewId="0">
      <selection activeCell="E6" sqref="E6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3" width="26" customWidth="1"/>
    <col min="4" max="4" width="3" customWidth="1"/>
    <col min="5" max="5" width="26" customWidth="1"/>
    <col min="6" max="6" width="3" customWidth="1"/>
    <col min="7" max="7" width="26" customWidth="1"/>
    <col min="8" max="8" width="3" customWidth="1"/>
    <col min="9" max="9" width="26" customWidth="1"/>
  </cols>
  <sheetData>
    <row r="1" spans="1:9" ht="21" x14ac:dyDescent="0.4">
      <c r="A1" s="21" t="s">
        <v>198</v>
      </c>
    </row>
    <row r="2" spans="1:9" x14ac:dyDescent="0.3">
      <c r="A2" s="22" t="s">
        <v>199</v>
      </c>
    </row>
    <row r="4" spans="1:9" x14ac:dyDescent="0.3">
      <c r="A4" s="39" t="s">
        <v>161</v>
      </c>
      <c r="C4" s="39" t="s">
        <v>182</v>
      </c>
      <c r="E4" s="39" t="s">
        <v>108</v>
      </c>
      <c r="G4" s="39" t="s">
        <v>96</v>
      </c>
      <c r="I4" s="39" t="s">
        <v>192</v>
      </c>
    </row>
    <row r="5" spans="1:9" x14ac:dyDescent="0.3">
      <c r="A5" s="32" t="s">
        <v>164</v>
      </c>
      <c r="C5" s="32" t="s">
        <v>187</v>
      </c>
      <c r="E5" s="32" t="s">
        <v>171</v>
      </c>
      <c r="G5" s="32" t="s">
        <v>122</v>
      </c>
      <c r="I5" s="32" t="s">
        <v>197</v>
      </c>
    </row>
    <row r="6" spans="1:9" x14ac:dyDescent="0.3">
      <c r="A6" s="32" t="s">
        <v>200</v>
      </c>
      <c r="C6" s="32" t="s">
        <v>201</v>
      </c>
      <c r="E6" s="32" t="s">
        <v>202</v>
      </c>
      <c r="G6" s="32" t="s">
        <v>134</v>
      </c>
      <c r="I6" s="32" t="s">
        <v>194</v>
      </c>
    </row>
    <row r="7" spans="1:9" x14ac:dyDescent="0.3">
      <c r="A7" s="32" t="s">
        <v>203</v>
      </c>
      <c r="C7" s="32" t="s">
        <v>189</v>
      </c>
      <c r="E7" s="32" t="s">
        <v>166</v>
      </c>
      <c r="G7" s="32" t="s">
        <v>141</v>
      </c>
      <c r="I7" s="32" t="s">
        <v>204</v>
      </c>
    </row>
    <row r="8" spans="1:9" x14ac:dyDescent="0.3">
      <c r="A8" s="32" t="s">
        <v>205</v>
      </c>
      <c r="C8" s="32" t="s">
        <v>206</v>
      </c>
    </row>
    <row r="9" spans="1:9" x14ac:dyDescent="0.3">
      <c r="A9" s="32" t="s">
        <v>177</v>
      </c>
      <c r="C9" s="32" t="s">
        <v>207</v>
      </c>
    </row>
    <row r="10" spans="1:9" x14ac:dyDescent="0.3">
      <c r="A10" s="32" t="s">
        <v>204</v>
      </c>
      <c r="C10" s="32" t="s">
        <v>185</v>
      </c>
    </row>
  </sheetData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J88"/>
  <sheetViews>
    <sheetView workbookViewId="0"/>
  </sheetViews>
  <sheetFormatPr baseColWidth="10" defaultColWidth="8.88671875" defaultRowHeight="14.4" x14ac:dyDescent="0.3"/>
  <cols>
    <col min="1" max="1" width="16" customWidth="1"/>
    <col min="2" max="4" width="14" customWidth="1"/>
    <col min="5" max="5" width="16" customWidth="1"/>
    <col min="6" max="7" width="14" customWidth="1"/>
    <col min="8" max="10" width="12" customWidth="1"/>
  </cols>
  <sheetData>
    <row r="1" spans="1:10" ht="15.6" x14ac:dyDescent="0.3">
      <c r="A1" s="40" t="s">
        <v>208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3">
      <c r="A3" s="41" t="s">
        <v>209</v>
      </c>
      <c r="B3" s="41" t="s">
        <v>210</v>
      </c>
      <c r="C3" s="41" t="s">
        <v>15</v>
      </c>
      <c r="D3" s="41" t="s">
        <v>159</v>
      </c>
      <c r="E3" s="41" t="s">
        <v>211</v>
      </c>
      <c r="F3" s="41" t="s">
        <v>28</v>
      </c>
      <c r="G3" s="41" t="s">
        <v>82</v>
      </c>
      <c r="H3" s="41" t="s">
        <v>105</v>
      </c>
      <c r="I3" s="41" t="s">
        <v>120</v>
      </c>
      <c r="J3" s="41" t="s">
        <v>31</v>
      </c>
    </row>
    <row r="4" spans="1:10" x14ac:dyDescent="0.3">
      <c r="A4" s="34" t="s">
        <v>212</v>
      </c>
      <c r="B4" s="42">
        <f>DATE(Anio,1,1)</f>
        <v>46023</v>
      </c>
      <c r="C4" s="43">
        <f>SUMIFS(tblVentas[Total venta],tblVentas[Fecha],"&gt;="&amp;$B4,tblVentas[Fecha],"&lt;"&amp;EDATE($B4,1))</f>
        <v>0</v>
      </c>
      <c r="D4" s="43">
        <f>SUMIFS(tblVentas[Costo],tblVentas[Fecha],"&gt;="&amp;$B4,tblVentas[Fecha],"&lt;"&amp;EDATE($B4,1))</f>
        <v>0</v>
      </c>
      <c r="E4" s="43">
        <f t="shared" ref="E4:E15" si="0">C4-D4</f>
        <v>0</v>
      </c>
      <c r="F4" s="43">
        <f>SUMIFS(tblGastos[Monto],tblGastos[Fecha],"&gt;="&amp;$B4,tblGastos[Fecha],"&lt;"&amp;EDATE($B4,1))</f>
        <v>0</v>
      </c>
      <c r="G4" s="43">
        <f t="shared" ref="G4:G15" si="1">E4-F4</f>
        <v>0</v>
      </c>
      <c r="H4" s="34">
        <f>SUMIFS(tblVentas[Cantidad],tblVentas[Fecha],"&gt;="&amp;$B4,tblVentas[Fecha],"&lt;"&amp;EDATE($B4,1))</f>
        <v>0</v>
      </c>
      <c r="I4" s="37">
        <f t="shared" ref="I4:I16" si="2">IF(C4=0,0,G4/C4)</f>
        <v>0</v>
      </c>
      <c r="J4" s="43">
        <f>SUMIFS(tblRetiros[Monto],tblRetiros[Fecha],"&gt;="&amp;$B4,tblRetiros[Fecha],"&lt;"&amp;EDATE($B4,1))</f>
        <v>0</v>
      </c>
    </row>
    <row r="5" spans="1:10" x14ac:dyDescent="0.3">
      <c r="A5" s="34" t="s">
        <v>213</v>
      </c>
      <c r="B5" s="42">
        <f>DATE(Anio,2,1)</f>
        <v>46054</v>
      </c>
      <c r="C5" s="43">
        <f>SUMIFS(tblVentas[Total venta],tblVentas[Fecha],"&gt;="&amp;$B5,tblVentas[Fecha],"&lt;"&amp;EDATE($B5,1))</f>
        <v>0</v>
      </c>
      <c r="D5" s="43">
        <f>SUMIFS(tblVentas[Costo],tblVentas[Fecha],"&gt;="&amp;$B5,tblVentas[Fecha],"&lt;"&amp;EDATE($B5,1))</f>
        <v>0</v>
      </c>
      <c r="E5" s="43">
        <f t="shared" si="0"/>
        <v>0</v>
      </c>
      <c r="F5" s="43">
        <f>SUMIFS(tblGastos[Monto],tblGastos[Fecha],"&gt;="&amp;$B5,tblGastos[Fecha],"&lt;"&amp;EDATE($B5,1))</f>
        <v>0</v>
      </c>
      <c r="G5" s="43">
        <f t="shared" si="1"/>
        <v>0</v>
      </c>
      <c r="H5" s="34">
        <f>SUMIFS(tblVentas[Cantidad],tblVentas[Fecha],"&gt;="&amp;$B5,tblVentas[Fecha],"&lt;"&amp;EDATE($B5,1))</f>
        <v>0</v>
      </c>
      <c r="I5" s="37">
        <f t="shared" si="2"/>
        <v>0</v>
      </c>
      <c r="J5" s="43">
        <f>SUMIFS(tblRetiros[Monto],tblRetiros[Fecha],"&gt;="&amp;$B5,tblRetiros[Fecha],"&lt;"&amp;EDATE($B5,1))</f>
        <v>0</v>
      </c>
    </row>
    <row r="6" spans="1:10" x14ac:dyDescent="0.3">
      <c r="A6" s="34" t="s">
        <v>214</v>
      </c>
      <c r="B6" s="42">
        <f>DATE(Anio,3,1)</f>
        <v>46082</v>
      </c>
      <c r="C6" s="43">
        <f>SUMIFS(tblVentas[Total venta],tblVentas[Fecha],"&gt;="&amp;$B6,tblVentas[Fecha],"&lt;"&amp;EDATE($B6,1))</f>
        <v>0</v>
      </c>
      <c r="D6" s="43">
        <f>SUMIFS(tblVentas[Costo],tblVentas[Fecha],"&gt;="&amp;$B6,tblVentas[Fecha],"&lt;"&amp;EDATE($B6,1))</f>
        <v>0</v>
      </c>
      <c r="E6" s="43">
        <f t="shared" si="0"/>
        <v>0</v>
      </c>
      <c r="F6" s="43">
        <f>SUMIFS(tblGastos[Monto],tblGastos[Fecha],"&gt;="&amp;$B6,tblGastos[Fecha],"&lt;"&amp;EDATE($B6,1))</f>
        <v>0</v>
      </c>
      <c r="G6" s="43">
        <f t="shared" si="1"/>
        <v>0</v>
      </c>
      <c r="H6" s="34">
        <f>SUMIFS(tblVentas[Cantidad],tblVentas[Fecha],"&gt;="&amp;$B6,tblVentas[Fecha],"&lt;"&amp;EDATE($B6,1))</f>
        <v>0</v>
      </c>
      <c r="I6" s="37">
        <f t="shared" si="2"/>
        <v>0</v>
      </c>
      <c r="J6" s="43">
        <f>SUMIFS(tblRetiros[Monto],tblRetiros[Fecha],"&gt;="&amp;$B6,tblRetiros[Fecha],"&lt;"&amp;EDATE($B6,1))</f>
        <v>0</v>
      </c>
    </row>
    <row r="7" spans="1:10" x14ac:dyDescent="0.3">
      <c r="A7" s="34" t="s">
        <v>215</v>
      </c>
      <c r="B7" s="42">
        <f>DATE(Anio,4,1)</f>
        <v>46113</v>
      </c>
      <c r="C7" s="43">
        <f>SUMIFS(tblVentas[Total venta],tblVentas[Fecha],"&gt;="&amp;$B7,tblVentas[Fecha],"&lt;"&amp;EDATE($B7,1))</f>
        <v>0</v>
      </c>
      <c r="D7" s="43">
        <f>SUMIFS(tblVentas[Costo],tblVentas[Fecha],"&gt;="&amp;$B7,tblVentas[Fecha],"&lt;"&amp;EDATE($B7,1))</f>
        <v>0</v>
      </c>
      <c r="E7" s="43">
        <f t="shared" si="0"/>
        <v>0</v>
      </c>
      <c r="F7" s="43">
        <f>SUMIFS(tblGastos[Monto],tblGastos[Fecha],"&gt;="&amp;$B7,tblGastos[Fecha],"&lt;"&amp;EDATE($B7,1))</f>
        <v>0</v>
      </c>
      <c r="G7" s="43">
        <f t="shared" si="1"/>
        <v>0</v>
      </c>
      <c r="H7" s="34">
        <f>SUMIFS(tblVentas[Cantidad],tblVentas[Fecha],"&gt;="&amp;$B7,tblVentas[Fecha],"&lt;"&amp;EDATE($B7,1))</f>
        <v>0</v>
      </c>
      <c r="I7" s="37">
        <f t="shared" si="2"/>
        <v>0</v>
      </c>
      <c r="J7" s="43">
        <f>SUMIFS(tblRetiros[Monto],tblRetiros[Fecha],"&gt;="&amp;$B7,tblRetiros[Fecha],"&lt;"&amp;EDATE($B7,1))</f>
        <v>0</v>
      </c>
    </row>
    <row r="8" spans="1:10" x14ac:dyDescent="0.3">
      <c r="A8" s="34" t="s">
        <v>216</v>
      </c>
      <c r="B8" s="42">
        <f>DATE(Anio,5,1)</f>
        <v>46143</v>
      </c>
      <c r="C8" s="43">
        <f>SUMIFS(tblVentas[Total venta],tblVentas[Fecha],"&gt;="&amp;$B8,tblVentas[Fecha],"&lt;"&amp;EDATE($B8,1))</f>
        <v>0</v>
      </c>
      <c r="D8" s="43">
        <f>SUMIFS(tblVentas[Costo],tblVentas[Fecha],"&gt;="&amp;$B8,tblVentas[Fecha],"&lt;"&amp;EDATE($B8,1))</f>
        <v>0</v>
      </c>
      <c r="E8" s="43">
        <f t="shared" si="0"/>
        <v>0</v>
      </c>
      <c r="F8" s="43">
        <f>SUMIFS(tblGastos[Monto],tblGastos[Fecha],"&gt;="&amp;$B8,tblGastos[Fecha],"&lt;"&amp;EDATE($B8,1))</f>
        <v>0</v>
      </c>
      <c r="G8" s="43">
        <f t="shared" si="1"/>
        <v>0</v>
      </c>
      <c r="H8" s="34">
        <f>SUMIFS(tblVentas[Cantidad],tblVentas[Fecha],"&gt;="&amp;$B8,tblVentas[Fecha],"&lt;"&amp;EDATE($B8,1))</f>
        <v>0</v>
      </c>
      <c r="I8" s="37">
        <f t="shared" si="2"/>
        <v>0</v>
      </c>
      <c r="J8" s="43">
        <f>SUMIFS(tblRetiros[Monto],tblRetiros[Fecha],"&gt;="&amp;$B8,tblRetiros[Fecha],"&lt;"&amp;EDATE($B8,1))</f>
        <v>0</v>
      </c>
    </row>
    <row r="9" spans="1:10" x14ac:dyDescent="0.3">
      <c r="A9" s="34" t="s">
        <v>217</v>
      </c>
      <c r="B9" s="42">
        <f>DATE(Anio,6,1)</f>
        <v>46174</v>
      </c>
      <c r="C9" s="43">
        <f>SUMIFS(tblVentas[Total venta],tblVentas[Fecha],"&gt;="&amp;$B9,tblVentas[Fecha],"&lt;"&amp;EDATE($B9,1))</f>
        <v>0</v>
      </c>
      <c r="D9" s="43">
        <f>SUMIFS(tblVentas[Costo],tblVentas[Fecha],"&gt;="&amp;$B9,tblVentas[Fecha],"&lt;"&amp;EDATE($B9,1))</f>
        <v>0</v>
      </c>
      <c r="E9" s="43">
        <f t="shared" si="0"/>
        <v>0</v>
      </c>
      <c r="F9" s="43">
        <f>SUMIFS(tblGastos[Monto],tblGastos[Fecha],"&gt;="&amp;$B9,tblGastos[Fecha],"&lt;"&amp;EDATE($B9,1))</f>
        <v>0</v>
      </c>
      <c r="G9" s="43">
        <f t="shared" si="1"/>
        <v>0</v>
      </c>
      <c r="H9" s="34">
        <f>SUMIFS(tblVentas[Cantidad],tblVentas[Fecha],"&gt;="&amp;$B9,tblVentas[Fecha],"&lt;"&amp;EDATE($B9,1))</f>
        <v>0</v>
      </c>
      <c r="I9" s="37">
        <f t="shared" si="2"/>
        <v>0</v>
      </c>
      <c r="J9" s="43">
        <f>SUMIFS(tblRetiros[Monto],tblRetiros[Fecha],"&gt;="&amp;$B9,tblRetiros[Fecha],"&lt;"&amp;EDATE($B9,1))</f>
        <v>0</v>
      </c>
    </row>
    <row r="10" spans="1:10" x14ac:dyDescent="0.3">
      <c r="A10" s="34" t="s">
        <v>218</v>
      </c>
      <c r="B10" s="42">
        <f>DATE(Anio,7,1)</f>
        <v>46204</v>
      </c>
      <c r="C10" s="43">
        <f>SUMIFS(tblVentas[Total venta],tblVentas[Fecha],"&gt;="&amp;$B10,tblVentas[Fecha],"&lt;"&amp;EDATE($B10,1))</f>
        <v>0</v>
      </c>
      <c r="D10" s="43">
        <f>SUMIFS(tblVentas[Costo],tblVentas[Fecha],"&gt;="&amp;$B10,tblVentas[Fecha],"&lt;"&amp;EDATE($B10,1))</f>
        <v>0</v>
      </c>
      <c r="E10" s="43">
        <f t="shared" si="0"/>
        <v>0</v>
      </c>
      <c r="F10" s="43">
        <f>SUMIFS(tblGastos[Monto],tblGastos[Fecha],"&gt;="&amp;$B10,tblGastos[Fecha],"&lt;"&amp;EDATE($B10,1))</f>
        <v>0</v>
      </c>
      <c r="G10" s="43">
        <f t="shared" si="1"/>
        <v>0</v>
      </c>
      <c r="H10" s="34">
        <f>SUMIFS(tblVentas[Cantidad],tblVentas[Fecha],"&gt;="&amp;$B10,tblVentas[Fecha],"&lt;"&amp;EDATE($B10,1))</f>
        <v>0</v>
      </c>
      <c r="I10" s="37">
        <f t="shared" si="2"/>
        <v>0</v>
      </c>
      <c r="J10" s="43">
        <f>SUMIFS(tblRetiros[Monto],tblRetiros[Fecha],"&gt;="&amp;$B10,tblRetiros[Fecha],"&lt;"&amp;EDATE($B10,1))</f>
        <v>0</v>
      </c>
    </row>
    <row r="11" spans="1:10" x14ac:dyDescent="0.3">
      <c r="A11" s="34" t="s">
        <v>219</v>
      </c>
      <c r="B11" s="42">
        <f>DATE(Anio,8,1)</f>
        <v>46235</v>
      </c>
      <c r="C11" s="43">
        <f>SUMIFS(tblVentas[Total venta],tblVentas[Fecha],"&gt;="&amp;$B11,tblVentas[Fecha],"&lt;"&amp;EDATE($B11,1))</f>
        <v>0</v>
      </c>
      <c r="D11" s="43">
        <f>SUMIFS(tblVentas[Costo],tblVentas[Fecha],"&gt;="&amp;$B11,tblVentas[Fecha],"&lt;"&amp;EDATE($B11,1))</f>
        <v>0</v>
      </c>
      <c r="E11" s="43">
        <f t="shared" si="0"/>
        <v>0</v>
      </c>
      <c r="F11" s="43">
        <f>SUMIFS(tblGastos[Monto],tblGastos[Fecha],"&gt;="&amp;$B11,tblGastos[Fecha],"&lt;"&amp;EDATE($B11,1))</f>
        <v>0</v>
      </c>
      <c r="G11" s="43">
        <f t="shared" si="1"/>
        <v>0</v>
      </c>
      <c r="H11" s="34">
        <f>SUMIFS(tblVentas[Cantidad],tblVentas[Fecha],"&gt;="&amp;$B11,tblVentas[Fecha],"&lt;"&amp;EDATE($B11,1))</f>
        <v>0</v>
      </c>
      <c r="I11" s="37">
        <f t="shared" si="2"/>
        <v>0</v>
      </c>
      <c r="J11" s="43">
        <f>SUMIFS(tblRetiros[Monto],tblRetiros[Fecha],"&gt;="&amp;$B11,tblRetiros[Fecha],"&lt;"&amp;EDATE($B11,1))</f>
        <v>0</v>
      </c>
    </row>
    <row r="12" spans="1:10" x14ac:dyDescent="0.3">
      <c r="A12" s="34" t="s">
        <v>220</v>
      </c>
      <c r="B12" s="42">
        <f>DATE(Anio,9,1)</f>
        <v>46266</v>
      </c>
      <c r="C12" s="43">
        <f>SUMIFS(tblVentas[Total venta],tblVentas[Fecha],"&gt;="&amp;$B12,tblVentas[Fecha],"&lt;"&amp;EDATE($B12,1))</f>
        <v>0</v>
      </c>
      <c r="D12" s="43">
        <f>SUMIFS(tblVentas[Costo],tblVentas[Fecha],"&gt;="&amp;$B12,tblVentas[Fecha],"&lt;"&amp;EDATE($B12,1))</f>
        <v>0</v>
      </c>
      <c r="E12" s="43">
        <f t="shared" si="0"/>
        <v>0</v>
      </c>
      <c r="F12" s="43">
        <f>SUMIFS(tblGastos[Monto],tblGastos[Fecha],"&gt;="&amp;$B12,tblGastos[Fecha],"&lt;"&amp;EDATE($B12,1))</f>
        <v>0</v>
      </c>
      <c r="G12" s="43">
        <f t="shared" si="1"/>
        <v>0</v>
      </c>
      <c r="H12" s="34">
        <f>SUMIFS(tblVentas[Cantidad],tblVentas[Fecha],"&gt;="&amp;$B12,tblVentas[Fecha],"&lt;"&amp;EDATE($B12,1))</f>
        <v>0</v>
      </c>
      <c r="I12" s="37">
        <f t="shared" si="2"/>
        <v>0</v>
      </c>
      <c r="J12" s="43">
        <f>SUMIFS(tblRetiros[Monto],tblRetiros[Fecha],"&gt;="&amp;$B12,tblRetiros[Fecha],"&lt;"&amp;EDATE($B12,1))</f>
        <v>0</v>
      </c>
    </row>
    <row r="13" spans="1:10" x14ac:dyDescent="0.3">
      <c r="A13" s="34" t="s">
        <v>221</v>
      </c>
      <c r="B13" s="42">
        <f>DATE(Anio,10,1)</f>
        <v>46296</v>
      </c>
      <c r="C13" s="43">
        <f>SUMIFS(tblVentas[Total venta],tblVentas[Fecha],"&gt;="&amp;$B13,tblVentas[Fecha],"&lt;"&amp;EDATE($B13,1))</f>
        <v>477</v>
      </c>
      <c r="D13" s="43">
        <f>SUMIFS(tblVentas[Costo],tblVentas[Fecha],"&gt;="&amp;$B13,tblVentas[Fecha],"&lt;"&amp;EDATE($B13,1))</f>
        <v>283.75</v>
      </c>
      <c r="E13" s="43">
        <f t="shared" si="0"/>
        <v>193.25</v>
      </c>
      <c r="F13" s="43">
        <f>SUMIFS(tblGastos[Monto],tblGastos[Fecha],"&gt;="&amp;$B13,tblGastos[Fecha],"&lt;"&amp;EDATE($B13,1))</f>
        <v>13</v>
      </c>
      <c r="G13" s="43">
        <f t="shared" si="1"/>
        <v>180.25</v>
      </c>
      <c r="H13" s="34">
        <f>SUMIFS(tblVentas[Cantidad],tblVentas[Fecha],"&gt;="&amp;$B13,tblVentas[Fecha],"&lt;"&amp;EDATE($B13,1))</f>
        <v>43</v>
      </c>
      <c r="I13" s="37">
        <f t="shared" si="2"/>
        <v>0.3778825995807128</v>
      </c>
      <c r="J13" s="43">
        <f>SUMIFS(tblRetiros[Monto],tblRetiros[Fecha],"&gt;="&amp;$B13,tblRetiros[Fecha],"&lt;"&amp;EDATE($B13,1))</f>
        <v>51</v>
      </c>
    </row>
    <row r="14" spans="1:10" x14ac:dyDescent="0.3">
      <c r="A14" s="34" t="s">
        <v>222</v>
      </c>
      <c r="B14" s="42">
        <f>DATE(Anio,11,1)</f>
        <v>46327</v>
      </c>
      <c r="C14" s="43">
        <f>SUMIFS(tblVentas[Total venta],tblVentas[Fecha],"&gt;="&amp;$B14,tblVentas[Fecha],"&lt;"&amp;EDATE($B14,1))</f>
        <v>0</v>
      </c>
      <c r="D14" s="43">
        <f>SUMIFS(tblVentas[Costo],tblVentas[Fecha],"&gt;="&amp;$B14,tblVentas[Fecha],"&lt;"&amp;EDATE($B14,1))</f>
        <v>0</v>
      </c>
      <c r="E14" s="43">
        <f t="shared" si="0"/>
        <v>0</v>
      </c>
      <c r="F14" s="43">
        <f>SUMIFS(tblGastos[Monto],tblGastos[Fecha],"&gt;="&amp;$B14,tblGastos[Fecha],"&lt;"&amp;EDATE($B14,1))</f>
        <v>0</v>
      </c>
      <c r="G14" s="43">
        <f t="shared" si="1"/>
        <v>0</v>
      </c>
      <c r="H14" s="34">
        <f>SUMIFS(tblVentas[Cantidad],tblVentas[Fecha],"&gt;="&amp;$B14,tblVentas[Fecha],"&lt;"&amp;EDATE($B14,1))</f>
        <v>0</v>
      </c>
      <c r="I14" s="37">
        <f t="shared" si="2"/>
        <v>0</v>
      </c>
      <c r="J14" s="43">
        <f>SUMIFS(tblRetiros[Monto],tblRetiros[Fecha],"&gt;="&amp;$B14,tblRetiros[Fecha],"&lt;"&amp;EDATE($B14,1))</f>
        <v>0</v>
      </c>
    </row>
    <row r="15" spans="1:10" x14ac:dyDescent="0.3">
      <c r="A15" s="34" t="s">
        <v>223</v>
      </c>
      <c r="B15" s="42">
        <f>DATE(Anio,12,1)</f>
        <v>46357</v>
      </c>
      <c r="C15" s="43">
        <f>SUMIFS(tblVentas[Total venta],tblVentas[Fecha],"&gt;="&amp;$B15,tblVentas[Fecha],"&lt;"&amp;EDATE($B15,1))</f>
        <v>0</v>
      </c>
      <c r="D15" s="43">
        <f>SUMIFS(tblVentas[Costo],tblVentas[Fecha],"&gt;="&amp;$B15,tblVentas[Fecha],"&lt;"&amp;EDATE($B15,1))</f>
        <v>0</v>
      </c>
      <c r="E15" s="43">
        <f t="shared" si="0"/>
        <v>0</v>
      </c>
      <c r="F15" s="43">
        <f>SUMIFS(tblGastos[Monto],tblGastos[Fecha],"&gt;="&amp;$B15,tblGastos[Fecha],"&lt;"&amp;EDATE($B15,1))</f>
        <v>0</v>
      </c>
      <c r="G15" s="43">
        <f t="shared" si="1"/>
        <v>0</v>
      </c>
      <c r="H15" s="34">
        <f>SUMIFS(tblVentas[Cantidad],tblVentas[Fecha],"&gt;="&amp;$B15,tblVentas[Fecha],"&lt;"&amp;EDATE($B15,1))</f>
        <v>0</v>
      </c>
      <c r="I15" s="37">
        <f t="shared" si="2"/>
        <v>0</v>
      </c>
      <c r="J15" s="43">
        <f>SUMIFS(tblRetiros[Monto],tblRetiros[Fecha],"&gt;="&amp;$B15,tblRetiros[Fecha],"&lt;"&amp;EDATE($B15,1))</f>
        <v>0</v>
      </c>
    </row>
    <row r="16" spans="1:10" x14ac:dyDescent="0.3">
      <c r="A16" s="34" t="s">
        <v>100</v>
      </c>
      <c r="B16" s="42"/>
      <c r="C16" s="43">
        <f t="shared" ref="C16:H16" si="3">SUM(C4:C15)</f>
        <v>477</v>
      </c>
      <c r="D16" s="43">
        <f t="shared" si="3"/>
        <v>283.75</v>
      </c>
      <c r="E16" s="43">
        <f t="shared" si="3"/>
        <v>193.25</v>
      </c>
      <c r="F16" s="43">
        <f t="shared" si="3"/>
        <v>13</v>
      </c>
      <c r="G16" s="43">
        <f t="shared" si="3"/>
        <v>180.25</v>
      </c>
      <c r="H16" s="34">
        <f t="shared" si="3"/>
        <v>43</v>
      </c>
      <c r="I16" s="37">
        <f t="shared" si="2"/>
        <v>0.3778825995807128</v>
      </c>
      <c r="J16" s="43">
        <f>SUM(J4:J15)</f>
        <v>51</v>
      </c>
    </row>
    <row r="17" spans="1:10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3">
      <c r="A18" s="29" t="s">
        <v>224</v>
      </c>
      <c r="B18" s="34"/>
      <c r="C18" s="34"/>
      <c r="D18" s="34"/>
      <c r="E18" s="34"/>
      <c r="F18" s="34"/>
      <c r="G18" s="34"/>
      <c r="H18" s="34"/>
      <c r="I18" s="34"/>
      <c r="J18" s="34"/>
    </row>
    <row r="19" spans="1:10" x14ac:dyDescent="0.3">
      <c r="A19" s="41" t="s">
        <v>161</v>
      </c>
      <c r="B19" s="41" t="s">
        <v>15</v>
      </c>
      <c r="C19" s="41" t="s">
        <v>105</v>
      </c>
      <c r="D19" s="34"/>
      <c r="E19" s="34"/>
      <c r="F19" s="34"/>
      <c r="G19" s="34"/>
      <c r="H19" s="34"/>
      <c r="I19" s="34"/>
      <c r="J19" s="34"/>
    </row>
    <row r="20" spans="1:10" x14ac:dyDescent="0.3">
      <c r="A20" s="34" t="str">
        <f>IFERROR(INDEX(tblCanales[Canal],1),"")</f>
        <v>WhatsApp</v>
      </c>
      <c r="B20" s="43">
        <f>IF(A20="",0,SUMIFS(tblVentas[Total venta],tblVentas[Canal],A20,tblVentas[Fecha],"&gt;="&amp;DATE(Anio,1,1),tblVentas[Fecha],"&lt;"&amp;DATE(Anio+1,1,1)))</f>
        <v>168</v>
      </c>
      <c r="C20" s="34">
        <f>IF(A20="",0,SUMIFS(tblVentas[Cantidad],tblVentas[Canal],A20,tblVentas[Fecha],"&gt;="&amp;DATE(Anio,1,1),tblVentas[Fecha],"&lt;"&amp;DATE(Anio+1,1,1)))</f>
        <v>14</v>
      </c>
      <c r="D20" s="34"/>
      <c r="E20" s="34"/>
      <c r="F20" s="34"/>
      <c r="G20" s="34"/>
      <c r="H20" s="34"/>
      <c r="I20" s="34"/>
      <c r="J20" s="34"/>
    </row>
    <row r="21" spans="1:10" x14ac:dyDescent="0.3">
      <c r="A21" s="34" t="str">
        <f>IFERROR(INDEX(tblCanales[Canal],2),"")</f>
        <v>Instagram</v>
      </c>
      <c r="B21" s="43">
        <f>IF(A21="",0,SUMIFS(tblVentas[Total venta],tblVentas[Canal],A21,tblVentas[Fecha],"&gt;="&amp;DATE(Anio,1,1),tblVentas[Fecha],"&lt;"&amp;DATE(Anio+1,1,1)))</f>
        <v>0</v>
      </c>
      <c r="C21" s="34">
        <f>IF(A21="",0,SUMIFS(tblVentas[Cantidad],tblVentas[Canal],A21,tblVentas[Fecha],"&gt;="&amp;DATE(Anio,1,1),tblVentas[Fecha],"&lt;"&amp;DATE(Anio+1,1,1)))</f>
        <v>0</v>
      </c>
      <c r="D21" s="34"/>
      <c r="E21" s="34"/>
      <c r="F21" s="34"/>
      <c r="G21" s="34"/>
      <c r="H21" s="34"/>
      <c r="I21" s="34"/>
      <c r="J21" s="34"/>
    </row>
    <row r="22" spans="1:10" x14ac:dyDescent="0.3">
      <c r="A22" s="34" t="str">
        <f>IFERROR(INDEX(tblCanales[Canal],3),"")</f>
        <v>Facebook</v>
      </c>
      <c r="B22" s="43">
        <f>IF(A22="",0,SUMIFS(tblVentas[Total venta],tblVentas[Canal],A22,tblVentas[Fecha],"&gt;="&amp;DATE(Anio,1,1),tblVentas[Fecha],"&lt;"&amp;DATE(Anio+1,1,1)))</f>
        <v>0</v>
      </c>
      <c r="C22" s="34">
        <f>IF(A22="",0,SUMIFS(tblVentas[Cantidad],tblVentas[Canal],A22,tblVentas[Fecha],"&gt;="&amp;DATE(Anio,1,1),tblVentas[Fecha],"&lt;"&amp;DATE(Anio+1,1,1)))</f>
        <v>0</v>
      </c>
      <c r="D22" s="34"/>
      <c r="E22" s="34"/>
      <c r="F22" s="34"/>
      <c r="G22" s="34"/>
      <c r="H22" s="34"/>
      <c r="I22" s="34"/>
      <c r="J22" s="34"/>
    </row>
    <row r="23" spans="1:10" x14ac:dyDescent="0.3">
      <c r="A23" s="34" t="str">
        <f>IFERROR(INDEX(tblCanales[Canal],4),"")</f>
        <v>Sitio web</v>
      </c>
      <c r="B23" s="43">
        <f>IF(A23="",0,SUMIFS(tblVentas[Total venta],tblVentas[Canal],A23,tblVentas[Fecha],"&gt;="&amp;DATE(Anio,1,1),tblVentas[Fecha],"&lt;"&amp;DATE(Anio+1,1,1)))</f>
        <v>0</v>
      </c>
      <c r="C23" s="34">
        <f>IF(A23="",0,SUMIFS(tblVentas[Cantidad],tblVentas[Canal],A23,tblVentas[Fecha],"&gt;="&amp;DATE(Anio,1,1),tblVentas[Fecha],"&lt;"&amp;DATE(Anio+1,1,1)))</f>
        <v>0</v>
      </c>
      <c r="D23" s="34"/>
      <c r="E23" s="34"/>
      <c r="F23" s="34"/>
      <c r="G23" s="34"/>
      <c r="H23" s="34"/>
      <c r="I23" s="34"/>
      <c r="J23" s="34"/>
    </row>
    <row r="24" spans="1:10" x14ac:dyDescent="0.3">
      <c r="A24" s="34" t="str">
        <f>IFERROR(INDEX(tblCanales[Canal],5),"")</f>
        <v>Marketplace</v>
      </c>
      <c r="B24" s="43">
        <f>IF(A24="",0,SUMIFS(tblVentas[Total venta],tblVentas[Canal],A24,tblVentas[Fecha],"&gt;="&amp;DATE(Anio,1,1),tblVentas[Fecha],"&lt;"&amp;DATE(Anio+1,1,1)))</f>
        <v>10</v>
      </c>
      <c r="C24" s="34">
        <f>IF(A24="",0,SUMIFS(tblVentas[Cantidad],tblVentas[Canal],A24,tblVentas[Fecha],"&gt;="&amp;DATE(Anio,1,1),tblVentas[Fecha],"&lt;"&amp;DATE(Anio+1,1,1)))</f>
        <v>1</v>
      </c>
      <c r="D24" s="34"/>
      <c r="E24" s="34"/>
      <c r="F24" s="34"/>
      <c r="G24" s="34"/>
      <c r="H24" s="34"/>
      <c r="I24" s="34"/>
      <c r="J24" s="34"/>
    </row>
    <row r="25" spans="1:10" x14ac:dyDescent="0.3">
      <c r="A25" s="34" t="str">
        <f>IFERROR(INDEX(tblCanales[Canal],6),"")</f>
        <v>Otro</v>
      </c>
      <c r="B25" s="43">
        <f>IF(A25="",0,SUMIFS(tblVentas[Total venta],tblVentas[Canal],A25,tblVentas[Fecha],"&gt;="&amp;DATE(Anio,1,1),tblVentas[Fecha],"&lt;"&amp;DATE(Anio+1,1,1)))</f>
        <v>0</v>
      </c>
      <c r="C25" s="34">
        <f>IF(A25="",0,SUMIFS(tblVentas[Cantidad],tblVentas[Canal],A25,tblVentas[Fecha],"&gt;="&amp;DATE(Anio,1,1),tblVentas[Fecha],"&lt;"&amp;DATE(Anio+1,1,1)))</f>
        <v>0</v>
      </c>
      <c r="D25" s="34"/>
      <c r="E25" s="34"/>
      <c r="F25" s="34"/>
      <c r="G25" s="34"/>
      <c r="H25" s="34"/>
      <c r="I25" s="34"/>
      <c r="J25" s="34"/>
    </row>
    <row r="26" spans="1:10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x14ac:dyDescent="0.3">
      <c r="A27" s="29" t="s">
        <v>225</v>
      </c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">
      <c r="A28" s="41" t="s">
        <v>182</v>
      </c>
      <c r="B28" s="41" t="s">
        <v>183</v>
      </c>
      <c r="C28" s="34"/>
      <c r="D28" s="34"/>
      <c r="E28" s="34"/>
      <c r="F28" s="34"/>
      <c r="G28" s="34"/>
      <c r="H28" s="34"/>
      <c r="I28" s="34"/>
      <c r="J28" s="34"/>
    </row>
    <row r="29" spans="1:10" x14ac:dyDescent="0.3">
      <c r="A29" s="34" t="str">
        <f>IFERROR(INDEX(tblCategorias[Categoría],1),"")</f>
        <v>Publicidad</v>
      </c>
      <c r="B29" s="43">
        <f>IF(A29="",0,SUMIFS(tblGastos[Monto],tblGastos[Categoría],A29,tblGastos[Fecha],"&gt;="&amp;DATE(Anio,1,1),tblGastos[Fecha],"&lt;"&amp;DATE(Anio+1,1,1)))</f>
        <v>5</v>
      </c>
      <c r="C29" s="34"/>
      <c r="D29" s="34"/>
      <c r="E29" s="34"/>
      <c r="F29" s="34"/>
      <c r="G29" s="34"/>
      <c r="H29" s="34"/>
      <c r="I29" s="34"/>
      <c r="J29" s="34"/>
    </row>
    <row r="30" spans="1:10" x14ac:dyDescent="0.3">
      <c r="A30" s="34" t="str">
        <f>IFERROR(INDEX(tblCategorias[Categoría],2),"")</f>
        <v>Envíos</v>
      </c>
      <c r="B30" s="43">
        <f>IF(A30="",0,SUMIFS(tblGastos[Monto],tblGastos[Categoría],A30,tblGastos[Fecha],"&gt;="&amp;DATE(Anio,1,1),tblGastos[Fecha],"&lt;"&amp;DATE(Anio+1,1,1)))</f>
        <v>0</v>
      </c>
      <c r="C30" s="34"/>
      <c r="D30" s="34"/>
      <c r="E30" s="34"/>
      <c r="F30" s="34"/>
      <c r="G30" s="34"/>
      <c r="H30" s="34"/>
      <c r="I30" s="34"/>
      <c r="J30" s="34"/>
    </row>
    <row r="31" spans="1:10" x14ac:dyDescent="0.3">
      <c r="A31" s="34" t="str">
        <f>IFERROR(INDEX(tblCategorias[Categoría],3),"")</f>
        <v>Empaque</v>
      </c>
      <c r="B31" s="43">
        <f>IF(A31="",0,SUMIFS(tblGastos[Monto],tblGastos[Categoría],A31,tblGastos[Fecha],"&gt;="&amp;DATE(Anio,1,1),tblGastos[Fecha],"&lt;"&amp;DATE(Anio+1,1,1)))</f>
        <v>4.5</v>
      </c>
      <c r="C31" s="34"/>
      <c r="D31" s="34"/>
      <c r="E31" s="34"/>
      <c r="F31" s="34"/>
      <c r="G31" s="34"/>
      <c r="H31" s="34"/>
      <c r="I31" s="34"/>
      <c r="J31" s="34"/>
    </row>
    <row r="32" spans="1:10" x14ac:dyDescent="0.3">
      <c r="A32" s="34" t="str">
        <f>IFERROR(INDEX(tblCategorias[Categoría],4),"")</f>
        <v>Comisiones</v>
      </c>
      <c r="B32" s="43">
        <f>IF(A32="",0,SUMIFS(tblGastos[Monto],tblGastos[Categoría],A32,tblGastos[Fecha],"&gt;="&amp;DATE(Anio,1,1),tblGastos[Fecha],"&lt;"&amp;DATE(Anio+1,1,1)))</f>
        <v>0</v>
      </c>
      <c r="C32" s="34"/>
      <c r="D32" s="34"/>
      <c r="E32" s="34"/>
      <c r="F32" s="34"/>
      <c r="G32" s="34"/>
      <c r="H32" s="34"/>
      <c r="I32" s="34"/>
      <c r="J32" s="34"/>
    </row>
    <row r="33" spans="1:10" x14ac:dyDescent="0.3">
      <c r="A33" s="34" t="str">
        <f>IFERROR(INDEX(tblCategorias[Categoría],5),"")</f>
        <v>Herramientas / apps</v>
      </c>
      <c r="B33" s="43">
        <f>IF(A33="",0,SUMIFS(tblGastos[Monto],tblGastos[Categoría],A33,tblGastos[Fecha],"&gt;="&amp;DATE(Anio,1,1),tblGastos[Fecha],"&lt;"&amp;DATE(Anio+1,1,1)))</f>
        <v>0</v>
      </c>
      <c r="C33" s="34"/>
      <c r="D33" s="34"/>
      <c r="E33" s="34"/>
      <c r="F33" s="34"/>
      <c r="G33" s="34"/>
      <c r="H33" s="34"/>
      <c r="I33" s="34"/>
      <c r="J33" s="34"/>
    </row>
    <row r="34" spans="1:10" x14ac:dyDescent="0.3">
      <c r="A34" s="34" t="str">
        <f>IFERROR(INDEX(tblCategorias[Categoría],6),"")</f>
        <v>Otros</v>
      </c>
      <c r="B34" s="43">
        <f>IF(A34="",0,SUMIFS(tblGastos[Monto],tblGastos[Categoría],A34,tblGastos[Fecha],"&gt;="&amp;DATE(Anio,1,1),tblGastos[Fecha],"&lt;"&amp;DATE(Anio+1,1,1)))</f>
        <v>3.5</v>
      </c>
      <c r="C34" s="34"/>
      <c r="D34" s="34"/>
      <c r="E34" s="34"/>
      <c r="F34" s="34"/>
      <c r="G34" s="34"/>
      <c r="H34" s="34"/>
      <c r="I34" s="34"/>
      <c r="J34" s="34"/>
    </row>
    <row r="35" spans="1:10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x14ac:dyDescent="0.3">
      <c r="A36" s="29" t="s">
        <v>226</v>
      </c>
      <c r="B36" s="34"/>
      <c r="C36" s="34"/>
      <c r="D36" s="34"/>
      <c r="E36" s="34"/>
      <c r="F36" s="34"/>
      <c r="G36" s="34"/>
      <c r="H36" s="34"/>
      <c r="I36" s="34"/>
      <c r="J36" s="34"/>
    </row>
    <row r="37" spans="1:10" ht="27" x14ac:dyDescent="0.3">
      <c r="A37" s="41" t="s">
        <v>96</v>
      </c>
      <c r="B37" s="41" t="s">
        <v>97</v>
      </c>
      <c r="C37" s="41" t="s">
        <v>98</v>
      </c>
      <c r="D37" s="41" t="s">
        <v>227</v>
      </c>
      <c r="E37" s="34"/>
      <c r="F37" s="34"/>
      <c r="G37" s="34"/>
      <c r="H37" s="34"/>
      <c r="I37" s="34"/>
      <c r="J37" s="34"/>
    </row>
    <row r="38" spans="1:10" x14ac:dyDescent="0.3">
      <c r="A38" s="34" t="str">
        <f>IFERROR(INDEX(tblModelos[Modelo],1),"")</f>
        <v>Pijama Mujer</v>
      </c>
      <c r="B38" s="34">
        <f>IF(A38="","",SUMIFS(tblProductos[Stock actual],tblProductos[Producto],A38))</f>
        <v>33</v>
      </c>
      <c r="C38" s="34">
        <f>IF(A38="","",SUMIFS(tblVentas[Cantidad],tblVentas[Producto],A38&amp;"*",tblVentas[Fecha],"&gt;="&amp;DATE(Anio,1,1),tblVentas[Fecha],"&lt;"&amp;DATE(Anio+1,1,1)))</f>
        <v>10</v>
      </c>
      <c r="D38" s="43">
        <f>IF(A38="","",SUMIFS(tblVentas[Total venta],tblVentas[Producto],A38&amp;"*",tblVentas[Fecha],"&gt;="&amp;DATE(Anio,1,1),tblVentas[Fecha],"&lt;"&amp;DATE(Anio+1,1,1)))</f>
        <v>131</v>
      </c>
      <c r="E38" s="34"/>
      <c r="F38" s="34"/>
      <c r="G38" s="34"/>
      <c r="H38" s="34"/>
      <c r="I38" s="34"/>
      <c r="J38" s="34"/>
    </row>
    <row r="39" spans="1:10" x14ac:dyDescent="0.3">
      <c r="A39" s="34" t="str">
        <f>IFERROR(INDEX(tblModelos[Modelo],2),"")</f>
        <v>Pijama Niño</v>
      </c>
      <c r="B39" s="34">
        <f>IF(A39="","",SUMIFS(tblProductos[Stock actual],tblProductos[Producto],A39))</f>
        <v>34</v>
      </c>
      <c r="C39" s="34">
        <f>IF(A39="","",SUMIFS(tblVentas[Cantidad],tblVentas[Producto],A39&amp;"*",tblVentas[Fecha],"&gt;="&amp;DATE(Anio,1,1),tblVentas[Fecha],"&lt;"&amp;DATE(Anio+1,1,1)))</f>
        <v>24</v>
      </c>
      <c r="D39" s="43">
        <f>IF(A39="","",SUMIFS(tblVentas[Total venta],tblVentas[Producto],A39&amp;"*",tblVentas[Fecha],"&gt;="&amp;DATE(Anio,1,1),tblVentas[Fecha],"&lt;"&amp;DATE(Anio+1,1,1)))</f>
        <v>237</v>
      </c>
      <c r="E39" s="34"/>
      <c r="F39" s="34"/>
      <c r="G39" s="34"/>
      <c r="H39" s="34"/>
      <c r="I39" s="34"/>
      <c r="J39" s="34"/>
    </row>
    <row r="40" spans="1:10" x14ac:dyDescent="0.3">
      <c r="A40" s="34" t="str">
        <f>IFERROR(INDEX(tblModelos[Modelo],3),"")</f>
        <v>Pijama Hombre</v>
      </c>
      <c r="B40" s="34">
        <f>IF(A40="","",SUMIFS(tblProductos[Stock actual],tblProductos[Producto],A40))</f>
        <v>3</v>
      </c>
      <c r="C40" s="34">
        <f>IF(A40="","",SUMIFS(tblVentas[Cantidad],tblVentas[Producto],A40&amp;"*",tblVentas[Fecha],"&gt;="&amp;DATE(Anio,1,1),tblVentas[Fecha],"&lt;"&amp;DATE(Anio+1,1,1)))</f>
        <v>9</v>
      </c>
      <c r="D40" s="43">
        <f>IF(A40="","",SUMIFS(tblVentas[Total venta],tblVentas[Producto],A40&amp;"*",tblVentas[Fecha],"&gt;="&amp;DATE(Anio,1,1),tblVentas[Fecha],"&lt;"&amp;DATE(Anio+1,1,1)))</f>
        <v>109</v>
      </c>
      <c r="E40" s="34"/>
      <c r="F40" s="34"/>
      <c r="G40" s="34"/>
      <c r="H40" s="34"/>
      <c r="I40" s="34"/>
      <c r="J40" s="34"/>
    </row>
    <row r="41" spans="1:10" x14ac:dyDescent="0.3">
      <c r="A41" s="34" t="str">
        <f>IFERROR(INDEX(tblModelos[Modelo],4),"")</f>
        <v/>
      </c>
      <c r="B41" s="34" t="str">
        <f>IF(A41="","",SUMIFS(tblProductos[Stock actual],tblProductos[Producto],A41))</f>
        <v/>
      </c>
      <c r="C41" s="34" t="str">
        <f>IF(A41="","",SUMIFS(tblVentas[Cantidad],tblVentas[Producto],A41&amp;"*",tblVentas[Fecha],"&gt;="&amp;DATE(Anio,1,1),tblVentas[Fecha],"&lt;"&amp;DATE(Anio+1,1,1)))</f>
        <v/>
      </c>
      <c r="D41" s="43" t="str">
        <f>IF(A41="","",SUMIFS(tblVentas[Total venta],tblVentas[Producto],A41&amp;"*",tblVentas[Fecha],"&gt;="&amp;DATE(Anio,1,1),tblVentas[Fecha],"&lt;"&amp;DATE(Anio+1,1,1)))</f>
        <v/>
      </c>
      <c r="E41" s="34"/>
      <c r="F41" s="34"/>
      <c r="G41" s="34"/>
      <c r="H41" s="34"/>
      <c r="I41" s="34"/>
      <c r="J41" s="34"/>
    </row>
    <row r="42" spans="1:10" x14ac:dyDescent="0.3">
      <c r="A42" s="34" t="str">
        <f>IFERROR(INDEX(tblModelos[Modelo],5),"")</f>
        <v/>
      </c>
      <c r="B42" s="34" t="str">
        <f>IF(A42="","",SUMIFS(tblProductos[Stock actual],tblProductos[Producto],A42))</f>
        <v/>
      </c>
      <c r="C42" s="34" t="str">
        <f>IF(A42="","",SUMIFS(tblVentas[Cantidad],tblVentas[Producto],A42&amp;"*",tblVentas[Fecha],"&gt;="&amp;DATE(Anio,1,1),tblVentas[Fecha],"&lt;"&amp;DATE(Anio+1,1,1)))</f>
        <v/>
      </c>
      <c r="D42" s="43" t="str">
        <f>IF(A42="","",SUMIFS(tblVentas[Total venta],tblVentas[Producto],A42&amp;"*",tblVentas[Fecha],"&gt;="&amp;DATE(Anio,1,1),tblVentas[Fecha],"&lt;"&amp;DATE(Anio+1,1,1)))</f>
        <v/>
      </c>
      <c r="E42" s="34"/>
      <c r="F42" s="34"/>
      <c r="G42" s="34"/>
      <c r="H42" s="34"/>
      <c r="I42" s="34"/>
      <c r="J42" s="34"/>
    </row>
    <row r="43" spans="1:10" x14ac:dyDescent="0.3">
      <c r="A43" s="34" t="s">
        <v>100</v>
      </c>
      <c r="B43" s="34">
        <f>SUM(B38:B42)</f>
        <v>70</v>
      </c>
      <c r="C43" s="34">
        <f>SUM(C38:C42)</f>
        <v>43</v>
      </c>
      <c r="D43" s="43">
        <f>SUM(D38:D42)</f>
        <v>477</v>
      </c>
      <c r="E43" s="34"/>
      <c r="F43" s="34"/>
      <c r="G43" s="34"/>
      <c r="H43" s="34"/>
      <c r="I43" s="34"/>
      <c r="J43" s="34"/>
    </row>
    <row r="44" spans="1:10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x14ac:dyDescent="0.3">
      <c r="A45" s="29" t="s">
        <v>228</v>
      </c>
      <c r="B45" s="34"/>
      <c r="C45" s="34"/>
      <c r="D45" s="34"/>
      <c r="E45" s="34"/>
      <c r="F45" s="34"/>
      <c r="G45" s="34"/>
      <c r="H45" s="34"/>
      <c r="I45" s="34"/>
      <c r="J45" s="34"/>
    </row>
    <row r="46" spans="1:10" x14ac:dyDescent="0.3">
      <c r="A46" s="41" t="s">
        <v>102</v>
      </c>
      <c r="B46" s="41" t="s">
        <v>229</v>
      </c>
      <c r="C46" s="41" t="s">
        <v>230</v>
      </c>
      <c r="D46" s="41" t="s">
        <v>103</v>
      </c>
      <c r="E46" s="41" t="s">
        <v>104</v>
      </c>
      <c r="F46" s="41" t="s">
        <v>105</v>
      </c>
      <c r="G46" s="34"/>
      <c r="H46" s="34"/>
      <c r="I46" s="34"/>
      <c r="J46" s="34"/>
    </row>
    <row r="47" spans="1:10" x14ac:dyDescent="0.3">
      <c r="A47" s="34">
        <v>1</v>
      </c>
      <c r="B47" s="34">
        <f>IFERROR(SUMPRODUCT(LARGE(tblProductos[Salidas]+ROW(tblProductos[Salidas])/1000000,A47)),"")</f>
        <v>10.000014</v>
      </c>
      <c r="C47" s="34">
        <f>IFERROR(MATCH(B47,INDEX(tblProductos[Salidas]+ROW(tblProductos[Salidas])/1000000,0),0),"")</f>
        <v>10</v>
      </c>
      <c r="D47" s="34" t="str">
        <f>IF(C47="","",INDEX(tblProductos[SKU],C47))</f>
        <v>PJ-N-12</v>
      </c>
      <c r="E47" s="34" t="str">
        <f>IF(C47="","",INDEX(tblProductos[Producto],C47)&amp;" "&amp;INDEX(tblProductos[Talla],C47))</f>
        <v>Pijama Niño 12</v>
      </c>
      <c r="F47" s="34">
        <f>IF(C47="",0,INDEX(tblProductos[Salidas],C47))</f>
        <v>10</v>
      </c>
      <c r="G47" s="34"/>
      <c r="H47" s="34"/>
      <c r="I47" s="34"/>
      <c r="J47" s="34"/>
    </row>
    <row r="48" spans="1:10" x14ac:dyDescent="0.3">
      <c r="A48" s="34">
        <v>2</v>
      </c>
      <c r="B48" s="34">
        <f>IFERROR(SUMPRODUCT(LARGE(tblProductos[Salidas]+ROW(tblProductos[Salidas])/1000000,A48)),"")</f>
        <v>6.000013</v>
      </c>
      <c r="C48" s="34">
        <f>IFERROR(MATCH(B48,INDEX(tblProductos[Salidas]+ROW(tblProductos[Salidas])/1000000,0),0),"")</f>
        <v>9</v>
      </c>
      <c r="D48" s="34" t="str">
        <f>IF(C48="","",INDEX(tblProductos[SKU],C48))</f>
        <v>PJ-N-10</v>
      </c>
      <c r="E48" s="34" t="str">
        <f>IF(C48="","",INDEX(tblProductos[Producto],C48)&amp;" "&amp;INDEX(tblProductos[Talla],C48))</f>
        <v>Pijama Niño 10</v>
      </c>
      <c r="F48" s="34">
        <f>IF(C48="",0,INDEX(tblProductos[Salidas],C48))</f>
        <v>6</v>
      </c>
      <c r="G48" s="34"/>
      <c r="H48" s="34"/>
      <c r="I48" s="34"/>
      <c r="J48" s="34"/>
    </row>
    <row r="49" spans="1:10" x14ac:dyDescent="0.3">
      <c r="A49" s="34">
        <v>3</v>
      </c>
      <c r="B49" s="34">
        <f>IFERROR(SUMPRODUCT(LARGE(tblProductos[Salidas]+ROW(tblProductos[Salidas])/1000000,A49)),"")</f>
        <v>4.0000119999999999</v>
      </c>
      <c r="C49" s="34">
        <f>IFERROR(MATCH(B49,INDEX(tblProductos[Salidas]+ROW(tblProductos[Salidas])/1000000,0),0),"")</f>
        <v>8</v>
      </c>
      <c r="D49" s="34" t="str">
        <f>IF(C49="","",INDEX(tblProductos[SKU],C49))</f>
        <v>PJ-N-8</v>
      </c>
      <c r="E49" s="34" t="str">
        <f>IF(C49="","",INDEX(tblProductos[Producto],C49)&amp;" "&amp;INDEX(tblProductos[Talla],C49))</f>
        <v>Pijama Niño 8</v>
      </c>
      <c r="F49" s="34">
        <f>IF(C49="",0,INDEX(tblProductos[Salidas],C49))</f>
        <v>4</v>
      </c>
      <c r="G49" s="34"/>
      <c r="H49" s="34"/>
      <c r="I49" s="34"/>
      <c r="J49" s="34"/>
    </row>
    <row r="50" spans="1:10" x14ac:dyDescent="0.3">
      <c r="A50" s="34">
        <v>4</v>
      </c>
      <c r="B50" s="34">
        <f>IFERROR(SUMPRODUCT(LARGE(tblProductos[Salidas]+ROW(tblProductos[Salidas])/1000000,A50)),"")</f>
        <v>4.0000049999999998</v>
      </c>
      <c r="C50" s="34">
        <f>IFERROR(MATCH(B50,INDEX(tblProductos[Salidas]+ROW(tblProductos[Salidas])/1000000,0),0),"")</f>
        <v>1</v>
      </c>
      <c r="D50" s="34" t="str">
        <f>IF(C50="","",INDEX(tblProductos[SKU],C50))</f>
        <v>PJ-M-S</v>
      </c>
      <c r="E50" s="34" t="str">
        <f>IF(C50="","",INDEX(tblProductos[Producto],C50)&amp;" "&amp;INDEX(tblProductos[Talla],C50))</f>
        <v>Pijama Mujer S</v>
      </c>
      <c r="F50" s="34">
        <f>IF(C50="",0,INDEX(tblProductos[Salidas],C50))</f>
        <v>4</v>
      </c>
      <c r="G50" s="34"/>
      <c r="H50" s="34"/>
      <c r="I50" s="34"/>
      <c r="J50" s="34"/>
    </row>
    <row r="51" spans="1:10" x14ac:dyDescent="0.3">
      <c r="A51" s="34">
        <v>5</v>
      </c>
      <c r="B51" s="34">
        <f>IFERROR(SUMPRODUCT(LARGE(tblProductos[Salidas]+ROW(tblProductos[Salidas])/1000000,A51)),"")</f>
        <v>3.000016</v>
      </c>
      <c r="C51" s="34">
        <f>IFERROR(MATCH(B51,INDEX(tblProductos[Salidas]+ROW(tblProductos[Salidas])/1000000,0),0),"")</f>
        <v>12</v>
      </c>
      <c r="D51" s="34" t="str">
        <f>IF(C51="","",INDEX(tblProductos[SKU],C51))</f>
        <v>PJ-H-S</v>
      </c>
      <c r="E51" s="34" t="str">
        <f>IF(C51="","",INDEX(tblProductos[Producto],C51)&amp;" "&amp;INDEX(tblProductos[Talla],C51))</f>
        <v>Pijama Hombre S</v>
      </c>
      <c r="F51" s="34">
        <f>IF(C51="",0,INDEX(tblProductos[Salidas],C51))</f>
        <v>3</v>
      </c>
      <c r="G51" s="34"/>
      <c r="H51" s="34"/>
      <c r="I51" s="34"/>
      <c r="J51" s="34"/>
    </row>
    <row r="52" spans="1:10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x14ac:dyDescent="0.3">
      <c r="A53" s="29" t="s">
        <v>231</v>
      </c>
      <c r="B53" s="34"/>
      <c r="C53" s="34"/>
      <c r="D53" s="34"/>
      <c r="E53" s="34"/>
      <c r="F53" s="34"/>
      <c r="G53" s="34"/>
      <c r="H53" s="34"/>
      <c r="I53" s="34"/>
      <c r="J53" s="34"/>
    </row>
    <row r="54" spans="1:10" x14ac:dyDescent="0.3">
      <c r="A54" s="41" t="s">
        <v>102</v>
      </c>
      <c r="B54" s="41" t="s">
        <v>229</v>
      </c>
      <c r="C54" s="41" t="s">
        <v>230</v>
      </c>
      <c r="D54" s="41" t="s">
        <v>103</v>
      </c>
      <c r="E54" s="41" t="s">
        <v>104</v>
      </c>
      <c r="F54" s="41" t="s">
        <v>232</v>
      </c>
      <c r="G54" s="41" t="s">
        <v>233</v>
      </c>
      <c r="H54" s="41" t="s">
        <v>108</v>
      </c>
      <c r="I54" s="34"/>
      <c r="J54" s="34"/>
    </row>
    <row r="55" spans="1:10" x14ac:dyDescent="0.3">
      <c r="A55" s="34">
        <v>1</v>
      </c>
      <c r="B55" s="34">
        <f>IFERROR(SUMPRODUCT(SMALL(tblProductos[Stock actual]-tblProductos[Stock mínimo]+ROW(tblProductos[Stock actual])/1000000,A55)),"")</f>
        <v>-1.999986</v>
      </c>
      <c r="C55" s="34">
        <f>IFERROR(MATCH(B55,INDEX(tblProductos[Stock actual]-tblProductos[Stock mínimo]+ROW(tblProductos[Stock actual])/1000000,0),0),"")</f>
        <v>10</v>
      </c>
      <c r="D55" s="34" t="str">
        <f>IF(C55="","",INDEX(tblProductos[SKU],C55))</f>
        <v>PJ-N-12</v>
      </c>
      <c r="E55" s="34" t="str">
        <f>IF(C55="","",INDEX(tblProductos[Producto],C55)&amp;" "&amp;INDEX(tblProductos[Talla],C55))</f>
        <v>Pijama Niño 12</v>
      </c>
      <c r="F55" s="34">
        <f>IF(C55="","",INDEX(tblProductos[Stock actual],C55))</f>
        <v>0</v>
      </c>
      <c r="G55" s="34">
        <f>IF(C55="","",INDEX(tblProductos[Stock mínimo],C55))</f>
        <v>2</v>
      </c>
      <c r="H55" s="34" t="str">
        <f>IF(C55="","",INDEX(tblProductos[Estado],C55))</f>
        <v>AGOTADO</v>
      </c>
      <c r="I55" s="34"/>
      <c r="J55" s="34"/>
    </row>
    <row r="56" spans="1:10" x14ac:dyDescent="0.3">
      <c r="A56" s="34">
        <v>2</v>
      </c>
      <c r="B56" s="34">
        <f>IFERROR(SUMPRODUCT(SMALL(tblProductos[Stock actual]-tblProductos[Stock mínimo]+ROW(tblProductos[Stock actual])/1000000,A56)),"")</f>
        <v>-0.99998399999999998</v>
      </c>
      <c r="C56" s="34">
        <f>IFERROR(MATCH(B56,INDEX(tblProductos[Stock actual]-tblProductos[Stock mínimo]+ROW(tblProductos[Stock actual])/1000000,0),0),"")</f>
        <v>12</v>
      </c>
      <c r="D56" s="34" t="str">
        <f>IF(C56="","",INDEX(tblProductos[SKU],C56))</f>
        <v>PJ-H-S</v>
      </c>
      <c r="E56" s="34" t="str">
        <f>IF(C56="","",INDEX(tblProductos[Producto],C56)&amp;" "&amp;INDEX(tblProductos[Talla],C56))</f>
        <v>Pijama Hombre S</v>
      </c>
      <c r="F56" s="34">
        <f>IF(C56="","",INDEX(tblProductos[Stock actual],C56))</f>
        <v>0</v>
      </c>
      <c r="G56" s="34">
        <f>IF(C56="","",INDEX(tblProductos[Stock mínimo],C56))</f>
        <v>1</v>
      </c>
      <c r="H56" s="34" t="str">
        <f>IF(C56="","",INDEX(tblProductos[Estado],C56))</f>
        <v>AGOTADO</v>
      </c>
      <c r="I56" s="34"/>
      <c r="J56" s="34"/>
    </row>
    <row r="57" spans="1:10" x14ac:dyDescent="0.3">
      <c r="A57" s="34">
        <v>3</v>
      </c>
      <c r="B57" s="34">
        <f>IFERROR(SUMPRODUCT(SMALL(tblProductos[Stock actual]-tblProductos[Stock mínimo]+ROW(tblProductos[Stock actual])/1000000,A57)),"")</f>
        <v>-0.99998299999999996</v>
      </c>
      <c r="C57" s="34">
        <f>IFERROR(MATCH(B57,INDEX(tblProductos[Stock actual]-tblProductos[Stock mínimo]+ROW(tblProductos[Stock actual])/1000000,0),0),"")</f>
        <v>13</v>
      </c>
      <c r="D57" s="34" t="str">
        <f>IF(C57="","",INDEX(tblProductos[SKU],C57))</f>
        <v>PJ-H-M</v>
      </c>
      <c r="E57" s="34" t="str">
        <f>IF(C57="","",INDEX(tblProductos[Producto],C57)&amp;" "&amp;INDEX(tblProductos[Talla],C57))</f>
        <v>Pijama Hombre M</v>
      </c>
      <c r="F57" s="34">
        <f>IF(C57="","",INDEX(tblProductos[Stock actual],C57))</f>
        <v>0</v>
      </c>
      <c r="G57" s="34">
        <f>IF(C57="","",INDEX(tblProductos[Stock mínimo],C57))</f>
        <v>1</v>
      </c>
      <c r="H57" s="34" t="str">
        <f>IF(C57="","",INDEX(tblProductos[Estado],C57))</f>
        <v>AGOTADO</v>
      </c>
      <c r="I57" s="34"/>
      <c r="J57" s="34"/>
    </row>
    <row r="58" spans="1:10" x14ac:dyDescent="0.3">
      <c r="A58" s="34">
        <v>4</v>
      </c>
      <c r="B58" s="34">
        <f>IFERROR(SUMPRODUCT(SMALL(tblProductos[Stock actual]-tblProductos[Stock mínimo]+ROW(tblProductos[Stock actual])/1000000,A58)),"")</f>
        <v>1.8E-5</v>
      </c>
      <c r="C58" s="34">
        <f>IFERROR(MATCH(B58,INDEX(tblProductos[Stock actual]-tblProductos[Stock mínimo]+ROW(tblProductos[Stock actual])/1000000,0),0),"")</f>
        <v>14</v>
      </c>
      <c r="D58" s="34" t="str">
        <f>IF(C58="","",INDEX(tblProductos[SKU],C58))</f>
        <v>PJ-H-L</v>
      </c>
      <c r="E58" s="34" t="str">
        <f>IF(C58="","",INDEX(tblProductos[Producto],C58)&amp;" "&amp;INDEX(tblProductos[Talla],C58))</f>
        <v>Pijama Hombre L</v>
      </c>
      <c r="F58" s="34">
        <f>IF(C58="","",INDEX(tblProductos[Stock actual],C58))</f>
        <v>1</v>
      </c>
      <c r="G58" s="34">
        <f>IF(C58="","",INDEX(tblProductos[Stock mínimo],C58))</f>
        <v>1</v>
      </c>
      <c r="H58" s="34" t="str">
        <f>IF(C58="","",INDEX(tblProductos[Estado],C58))</f>
        <v>REPONER</v>
      </c>
      <c r="I58" s="34"/>
      <c r="J58" s="34"/>
    </row>
    <row r="59" spans="1:10" x14ac:dyDescent="0.3">
      <c r="A59" s="34">
        <v>5</v>
      </c>
      <c r="B59" s="34">
        <f>IFERROR(SUMPRODUCT(SMALL(tblProductos[Stock actual]-tblProductos[Stock mínimo]+ROW(tblProductos[Stock actual])/1000000,A59)),"")</f>
        <v>1.9000000000000001E-5</v>
      </c>
      <c r="C59" s="34">
        <f>IFERROR(MATCH(B59,INDEX(tblProductos[Stock actual]-tblProductos[Stock mínimo]+ROW(tblProductos[Stock actual])/1000000,0),0),"")</f>
        <v>15</v>
      </c>
      <c r="D59" s="34" t="str">
        <f>IF(C59="","",INDEX(tblProductos[SKU],C59))</f>
        <v>PJ-H-XL</v>
      </c>
      <c r="E59" s="34" t="str">
        <f>IF(C59="","",INDEX(tblProductos[Producto],C59)&amp;" "&amp;INDEX(tblProductos[Talla],C59))</f>
        <v>Pijama Hombre XL</v>
      </c>
      <c r="F59" s="34">
        <f>IF(C59="","",INDEX(tblProductos[Stock actual],C59))</f>
        <v>1</v>
      </c>
      <c r="G59" s="34">
        <f>IF(C59="","",INDEX(tblProductos[Stock mínimo],C59))</f>
        <v>1</v>
      </c>
      <c r="H59" s="34" t="str">
        <f>IF(C59="","",INDEX(tblProductos[Estado],C59))</f>
        <v>REPONER</v>
      </c>
      <c r="I59" s="34"/>
      <c r="J59" s="34"/>
    </row>
    <row r="60" spans="1:10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</row>
    <row r="61" spans="1:10" x14ac:dyDescent="0.3">
      <c r="A61" s="29" t="s">
        <v>234</v>
      </c>
      <c r="B61" s="34"/>
      <c r="C61" s="34"/>
      <c r="D61" s="34"/>
      <c r="E61" s="34"/>
      <c r="F61" s="34"/>
      <c r="G61" s="34"/>
      <c r="H61" s="34"/>
      <c r="I61" s="34"/>
      <c r="J61" s="34"/>
    </row>
    <row r="62" spans="1:10" x14ac:dyDescent="0.3">
      <c r="A62" s="41" t="s">
        <v>235</v>
      </c>
      <c r="B62" s="41" t="s">
        <v>236</v>
      </c>
      <c r="C62" s="34"/>
      <c r="D62" s="34"/>
      <c r="E62" s="34"/>
      <c r="F62" s="34"/>
      <c r="G62" s="34"/>
      <c r="H62" s="34"/>
      <c r="I62" s="34"/>
      <c r="J62" s="34"/>
    </row>
    <row r="63" spans="1:10" x14ac:dyDescent="0.3">
      <c r="A63" s="34" t="s">
        <v>237</v>
      </c>
      <c r="B63" s="36">
        <f>C16</f>
        <v>477</v>
      </c>
      <c r="C63" s="34"/>
      <c r="D63" s="34"/>
      <c r="E63" s="34"/>
      <c r="F63" s="34"/>
      <c r="G63" s="34"/>
      <c r="H63" s="34"/>
      <c r="I63" s="34"/>
      <c r="J63" s="34"/>
    </row>
    <row r="64" spans="1:10" x14ac:dyDescent="0.3">
      <c r="A64" s="34" t="s">
        <v>82</v>
      </c>
      <c r="B64" s="36">
        <f>G16</f>
        <v>180.25</v>
      </c>
      <c r="C64" s="34"/>
      <c r="D64" s="34"/>
      <c r="E64" s="34"/>
      <c r="F64" s="34"/>
      <c r="G64" s="34"/>
      <c r="H64" s="34"/>
      <c r="I64" s="34"/>
      <c r="J64" s="34"/>
    </row>
    <row r="65" spans="1:10" x14ac:dyDescent="0.3">
      <c r="A65" s="34" t="s">
        <v>238</v>
      </c>
      <c r="B65" s="36">
        <f>F16</f>
        <v>13</v>
      </c>
      <c r="C65" s="34"/>
      <c r="D65" s="34"/>
      <c r="E65" s="34"/>
      <c r="F65" s="34"/>
      <c r="G65" s="34"/>
      <c r="H65" s="34"/>
      <c r="I65" s="34"/>
      <c r="J65" s="34"/>
    </row>
    <row r="66" spans="1:10" x14ac:dyDescent="0.3">
      <c r="A66" s="34" t="s">
        <v>239</v>
      </c>
      <c r="B66" s="44">
        <f>H16</f>
        <v>43</v>
      </c>
      <c r="C66" s="34"/>
      <c r="D66" s="34"/>
      <c r="E66" s="34"/>
      <c r="F66" s="34"/>
      <c r="G66" s="34"/>
      <c r="H66" s="34"/>
      <c r="I66" s="34"/>
      <c r="J66" s="34"/>
    </row>
    <row r="67" spans="1:10" x14ac:dyDescent="0.3">
      <c r="A67" s="34" t="s">
        <v>240</v>
      </c>
      <c r="B67" s="36">
        <f>SUM(tblProductos[Valor inventario])</f>
        <v>476.75</v>
      </c>
      <c r="C67" s="34"/>
      <c r="D67" s="34"/>
      <c r="E67" s="34"/>
      <c r="F67" s="34"/>
      <c r="G67" s="34"/>
      <c r="H67" s="34"/>
      <c r="I67" s="34"/>
      <c r="J67" s="34"/>
    </row>
    <row r="68" spans="1:10" x14ac:dyDescent="0.3">
      <c r="A68" s="34" t="s">
        <v>241</v>
      </c>
      <c r="B68" s="45">
        <f>COUNTIF(tblProductos[Estado],"REPONER")+COUNTIF(tblProductos[Estado],"AGOTADO")</f>
        <v>6</v>
      </c>
      <c r="C68" s="34"/>
      <c r="D68" s="34"/>
      <c r="E68" s="34"/>
      <c r="F68" s="34"/>
      <c r="G68" s="34"/>
      <c r="H68" s="34"/>
      <c r="I68" s="34"/>
      <c r="J68" s="34"/>
    </row>
    <row r="69" spans="1:10" x14ac:dyDescent="0.3">
      <c r="A69" s="34" t="s">
        <v>242</v>
      </c>
      <c r="B69" s="45">
        <f>COUNTIFS(tblVentas[Fecha],"&gt;="&amp;DATE(Anio,1,1),tblVentas[Fecha],"&lt;"&amp;DATE(Anio+1,1,1))</f>
        <v>26</v>
      </c>
      <c r="C69" s="34"/>
      <c r="D69" s="34"/>
      <c r="E69" s="34"/>
      <c r="F69" s="34"/>
      <c r="G69" s="34"/>
      <c r="H69" s="34"/>
      <c r="I69" s="34"/>
      <c r="J69" s="34"/>
    </row>
    <row r="70" spans="1:10" x14ac:dyDescent="0.3">
      <c r="A70" s="34" t="s">
        <v>70</v>
      </c>
      <c r="B70" s="36">
        <f>IF(B69=0,0,B63/B69)</f>
        <v>18.346153846153847</v>
      </c>
      <c r="C70" s="34"/>
      <c r="D70" s="34"/>
      <c r="E70" s="34"/>
      <c r="F70" s="34"/>
      <c r="G70" s="34"/>
      <c r="H70" s="34"/>
      <c r="I70" s="34"/>
      <c r="J70" s="34"/>
    </row>
    <row r="71" spans="1:10" x14ac:dyDescent="0.3">
      <c r="A71" s="34" t="s">
        <v>71</v>
      </c>
      <c r="B71" s="37">
        <f>IF(B63=0,0,B64/B63)</f>
        <v>0.3778825995807128</v>
      </c>
      <c r="C71" s="34"/>
      <c r="D71" s="34"/>
      <c r="E71" s="34"/>
      <c r="F71" s="34"/>
      <c r="G71" s="34"/>
      <c r="H71" s="34"/>
      <c r="I71" s="34"/>
      <c r="J71" s="34"/>
    </row>
    <row r="72" spans="1:10" x14ac:dyDescent="0.3">
      <c r="A72" s="34" t="s">
        <v>243</v>
      </c>
      <c r="B72" s="37">
        <f>IF(B63=0,0,B65/B63)</f>
        <v>2.7253668763102725E-2</v>
      </c>
      <c r="C72" s="34"/>
      <c r="D72" s="34"/>
      <c r="E72" s="34"/>
      <c r="F72" s="34"/>
      <c r="G72" s="34"/>
      <c r="H72" s="34"/>
      <c r="I72" s="34"/>
      <c r="J72" s="34"/>
    </row>
    <row r="73" spans="1:10" x14ac:dyDescent="0.3">
      <c r="A73" s="34" t="s">
        <v>244</v>
      </c>
      <c r="B73" s="36">
        <f>SUMIFS(tblRetiros[Monto],tblRetiros[Fecha],"&gt;="&amp;DATE(Anio,1,1),tblRetiros[Fecha],"&lt;"&amp;DATE(Anio+1,1,1))</f>
        <v>51</v>
      </c>
      <c r="C73" s="34"/>
      <c r="D73" s="34"/>
      <c r="E73" s="34"/>
      <c r="F73" s="34"/>
      <c r="G73" s="34"/>
      <c r="H73" s="34"/>
      <c r="I73" s="34"/>
      <c r="J73" s="34"/>
    </row>
    <row r="74" spans="1:10" x14ac:dyDescent="0.3">
      <c r="A74" s="34" t="s">
        <v>80</v>
      </c>
      <c r="B74" s="45">
        <f>COUNTIFS(tblRetiros[Fecha],"&gt;="&amp;DATE(Anio,1,1),tblRetiros[Fecha],"&lt;"&amp;DATE(Anio+1,1,1))</f>
        <v>3</v>
      </c>
      <c r="C74" s="34"/>
      <c r="D74" s="34"/>
      <c r="E74" s="34"/>
      <c r="F74" s="34"/>
      <c r="G74" s="34"/>
      <c r="H74" s="34"/>
      <c r="I74" s="34"/>
      <c r="J74" s="34"/>
    </row>
    <row r="75" spans="1:10" x14ac:dyDescent="0.3">
      <c r="A75" s="34" t="s">
        <v>245</v>
      </c>
      <c r="B75" s="36">
        <f>B64-B73</f>
        <v>129.25</v>
      </c>
      <c r="C75" s="34"/>
      <c r="D75" s="34"/>
      <c r="E75" s="34"/>
      <c r="F75" s="34"/>
      <c r="G75" s="34"/>
      <c r="H75" s="34"/>
      <c r="I75" s="34"/>
      <c r="J75" s="34"/>
    </row>
    <row r="76" spans="1:10" x14ac:dyDescent="0.3">
      <c r="A76" s="34" t="s">
        <v>246</v>
      </c>
      <c r="B76" s="37">
        <f>IF(B64&lt;=0,"n/d",B73/B64)</f>
        <v>0.28294036061026351</v>
      </c>
      <c r="C76" s="34"/>
      <c r="D76" s="34"/>
      <c r="E76" s="34"/>
      <c r="F76" s="34"/>
      <c r="G76" s="34"/>
      <c r="H76" s="34"/>
      <c r="I76" s="34"/>
      <c r="J76" s="34"/>
    </row>
    <row r="77" spans="1:10" x14ac:dyDescent="0.3">
      <c r="A77" s="34" t="s">
        <v>247</v>
      </c>
      <c r="B77" s="36">
        <f>MAX(0,B75)</f>
        <v>129.25</v>
      </c>
      <c r="C77" s="34"/>
      <c r="D77" s="34"/>
      <c r="E77" s="34"/>
      <c r="F77" s="34"/>
      <c r="G77" s="34"/>
      <c r="H77" s="34"/>
      <c r="I77" s="34"/>
      <c r="J77" s="34"/>
    </row>
    <row r="78" spans="1:10" x14ac:dyDescent="0.3">
      <c r="A78" s="34" t="s">
        <v>211</v>
      </c>
      <c r="B78" s="36">
        <f>E16</f>
        <v>193.25</v>
      </c>
      <c r="C78" s="34"/>
      <c r="D78" s="34"/>
      <c r="E78" s="34"/>
      <c r="F78" s="34"/>
      <c r="G78" s="34"/>
      <c r="H78" s="34"/>
      <c r="I78" s="34"/>
      <c r="J78" s="34"/>
    </row>
    <row r="79" spans="1:10" x14ac:dyDescent="0.3">
      <c r="A79" s="34" t="s">
        <v>83</v>
      </c>
      <c r="B79" s="37">
        <f>IF(B63=0,0,E16/B63)</f>
        <v>0.4051362683438155</v>
      </c>
      <c r="C79" s="34"/>
      <c r="D79" s="34"/>
      <c r="E79" s="34"/>
      <c r="F79" s="34"/>
      <c r="G79" s="34"/>
      <c r="H79" s="34"/>
      <c r="I79" s="34"/>
      <c r="J79" s="34"/>
    </row>
    <row r="80" spans="1:10" x14ac:dyDescent="0.3">
      <c r="A80" s="34" t="s">
        <v>248</v>
      </c>
      <c r="B80" s="36">
        <f>SUMIFS(tblCompras[Total],tblCompras[Fecha],"&gt;="&amp;DATE(Anio,1,1),tblCompras[Fecha],"&lt;"&amp;DATE(Anio+1,1,1))</f>
        <v>0</v>
      </c>
      <c r="C80" s="34"/>
      <c r="D80" s="34"/>
      <c r="E80" s="34"/>
      <c r="F80" s="34"/>
      <c r="G80" s="34"/>
      <c r="H80" s="34"/>
      <c r="I80" s="34"/>
      <c r="J80" s="34"/>
    </row>
    <row r="81" spans="1:10" x14ac:dyDescent="0.3">
      <c r="A81" s="34" t="s">
        <v>84</v>
      </c>
      <c r="B81" s="45">
        <f>COUNTIFS(tblCompras[Fecha],"&gt;="&amp;DATE(Anio,1,1),tblCompras[Fecha],"&lt;"&amp;DATE(Anio+1,1,1))</f>
        <v>3</v>
      </c>
      <c r="C81" s="34"/>
      <c r="D81" s="34"/>
      <c r="E81" s="34"/>
      <c r="F81" s="34"/>
      <c r="G81" s="34"/>
      <c r="H81" s="34"/>
      <c r="I81" s="34"/>
      <c r="J81" s="34"/>
    </row>
    <row r="82" spans="1:10" x14ac:dyDescent="0.3">
      <c r="A82" s="34" t="s">
        <v>249</v>
      </c>
      <c r="B82" s="34" t="str">
        <f>IF(B73=0,"Aún no hay retiros registrados en este año.",IF(B75&gt;=0,"✔  Los retiros están dentro de la utilidad del negocio.","⚠  Los retiros superan la utilidad: parte salió del capital (dinero que hace falta para reponer mercadería)."))</f>
        <v>✔  Los retiros están dentro de la utilidad del negocio.</v>
      </c>
      <c r="C82" s="34"/>
      <c r="D82" s="34"/>
      <c r="E82" s="34"/>
      <c r="F82" s="34"/>
      <c r="G82" s="34"/>
      <c r="H82" s="34"/>
      <c r="I82" s="34"/>
      <c r="J82" s="34"/>
    </row>
    <row r="83" spans="1:10" x14ac:dyDescent="0.3">
      <c r="A83" s="34" t="s">
        <v>250</v>
      </c>
      <c r="B83" s="36">
        <f>SUMIFS(tblVentas[Total venta],tblVentas[Estado],"Entregado",tblVentas[Fecha],"&gt;="&amp;DATE(Anio,1,1),tblVentas[Fecha],"&lt;"&amp;DATE(Anio+1,1,1))</f>
        <v>240</v>
      </c>
      <c r="C83" s="34"/>
      <c r="D83" s="34"/>
      <c r="E83" s="34"/>
      <c r="F83" s="34"/>
      <c r="G83" s="34"/>
      <c r="H83" s="34"/>
      <c r="I83" s="34"/>
      <c r="J83" s="34"/>
    </row>
    <row r="84" spans="1:10" x14ac:dyDescent="0.3">
      <c r="A84" s="34" t="s">
        <v>251</v>
      </c>
      <c r="B84" s="45">
        <f>COUNTIFS(tblVentas[Estado],"Entregado",tblVentas[Fecha],"&gt;="&amp;DATE(Anio,1,1),tblVentas[Fecha],"&lt;"&amp;DATE(Anio+1,1,1))</f>
        <v>11</v>
      </c>
      <c r="C84" s="34"/>
      <c r="D84" s="34"/>
      <c r="E84" s="34"/>
      <c r="F84" s="34"/>
      <c r="G84" s="34"/>
      <c r="H84" s="34"/>
      <c r="I84" s="34"/>
      <c r="J84" s="34"/>
    </row>
    <row r="85" spans="1:10" x14ac:dyDescent="0.3">
      <c r="A85" s="34" t="s">
        <v>252</v>
      </c>
      <c r="B85" s="36">
        <f>B63-B83</f>
        <v>237</v>
      </c>
      <c r="C85" s="34"/>
      <c r="D85" s="34"/>
      <c r="E85" s="34"/>
      <c r="F85" s="34"/>
      <c r="G85" s="34"/>
      <c r="H85" s="34"/>
      <c r="I85" s="34"/>
      <c r="J85" s="34"/>
    </row>
    <row r="86" spans="1:10" x14ac:dyDescent="0.3">
      <c r="A86" s="34" t="s">
        <v>253</v>
      </c>
      <c r="B86" s="45">
        <f>B69-B84</f>
        <v>15</v>
      </c>
      <c r="C86" s="34"/>
      <c r="D86" s="34"/>
      <c r="E86" s="34"/>
      <c r="F86" s="34"/>
      <c r="G86" s="34"/>
      <c r="H86" s="34"/>
      <c r="I86" s="34"/>
      <c r="J86" s="34"/>
    </row>
    <row r="87" spans="1:10" x14ac:dyDescent="0.3">
      <c r="A87" s="34" t="s">
        <v>254</v>
      </c>
      <c r="B87" s="36">
        <f>B83-B65-B73-B80</f>
        <v>176</v>
      </c>
      <c r="C87" s="34"/>
      <c r="D87" s="34"/>
      <c r="E87" s="34"/>
      <c r="F87" s="34"/>
      <c r="G87" s="34"/>
      <c r="H87" s="34"/>
      <c r="I87" s="34"/>
      <c r="J87" s="34"/>
    </row>
    <row r="88" spans="1:10" x14ac:dyDescent="0.3">
      <c r="A88" s="34" t="s">
        <v>255</v>
      </c>
      <c r="B88" s="36">
        <f>B87+B85</f>
        <v>413</v>
      </c>
      <c r="C88" s="34"/>
      <c r="D88" s="34"/>
      <c r="E88" s="34"/>
      <c r="F88" s="34"/>
      <c r="G88" s="34"/>
      <c r="H88" s="34"/>
      <c r="I88" s="34"/>
      <c r="J88" s="3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de03a1-8ca0-4491-95fb-e171d7d3d2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E096F793A83D449D441EAD4DFD41EA" ma:contentTypeVersion="6" ma:contentTypeDescription="Crear nuevo documento." ma:contentTypeScope="" ma:versionID="496c747ef95ffa70b25b51aab6aea1e0">
  <xsd:schema xmlns:xsd="http://www.w3.org/2001/XMLSchema" xmlns:xs="http://www.w3.org/2001/XMLSchema" xmlns:p="http://schemas.microsoft.com/office/2006/metadata/properties" xmlns:ns3="d2de03a1-8ca0-4491-95fb-e171d7d3d257" targetNamespace="http://schemas.microsoft.com/office/2006/metadata/properties" ma:root="true" ma:fieldsID="f7bbbe9fe5f6d87104ae0fdad619a2ab" ns3:_="">
    <xsd:import namespace="d2de03a1-8ca0-4491-95fb-e171d7d3d25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e03a1-8ca0-4491-95fb-e171d7d3d25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51A2D4-BB9D-434D-91A3-17514BA96B5A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d2de03a1-8ca0-4491-95fb-e171d7d3d25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A4D6E9D-6775-4455-B9C8-9E48C23C3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de03a1-8ca0-4491-95fb-e171d7d3d2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B480FD-52A5-4FAC-BA53-FC7D2E8CD6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Flujo de trabajo</vt:lpstr>
      <vt:lpstr>Dashboard</vt:lpstr>
      <vt:lpstr>Productos</vt:lpstr>
      <vt:lpstr>Compras</vt:lpstr>
      <vt:lpstr>Ventas</vt:lpstr>
      <vt:lpstr>Gastos</vt:lpstr>
      <vt:lpstr>Retiros</vt:lpstr>
      <vt:lpstr>Listas</vt:lpstr>
      <vt:lpstr>Datos</vt:lpstr>
      <vt:lpstr>Anio</vt:lpstr>
      <vt:lpstr>Dashboard!Área_de_impresión</vt:lpstr>
      <vt:lpstr>ListaCanales</vt:lpstr>
      <vt:lpstr>ListaCategorias</vt:lpstr>
      <vt:lpstr>ListaEstados</vt:lpstr>
      <vt:lpstr>ListaModelos</vt:lpstr>
      <vt:lpstr>ListaMotivos</vt:lpstr>
      <vt:lpstr>ListaSKU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Elías Yoel Romero Sánchez</cp:lastModifiedBy>
  <cp:revision/>
  <dcterms:created xsi:type="dcterms:W3CDTF">2026-10-27T03:47:40Z</dcterms:created>
  <dcterms:modified xsi:type="dcterms:W3CDTF">2026-10-29T03:09:18Z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0x0101000EE096F793A83D449D441EAD4DFD41EA</vt:lpwstr>
  </property>
</Properties>
</file>