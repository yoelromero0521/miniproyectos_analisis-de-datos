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e\Desktop\PORTAFOLIO\02-automatizacion-reporte-clientes-styba\"/>
    </mc:Choice>
  </mc:AlternateContent>
  <xr:revisionPtr revIDLastSave="0" documentId="13_ncr:1_{69B3C4D9-A161-4D2D-9A3C-69BB651CE9A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BASE_WMS" sheetId="2" r:id="rId1"/>
    <sheet name="CONFIG" sheetId="3" r:id="rId2"/>
    <sheet name="DASHBOARD" sheetId="1" r:id="rId3"/>
  </sheets>
  <definedNames>
    <definedName name="_xleta.DAYS" hidden="1" xlm="1">#NAME?</definedName>
    <definedName name="_xlnm.Print_Area" localSheetId="2">DASHBOARD!$A$1:$M$27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 a="1"/>
  <c r="P3" i="1" a="1"/>
  <c r="Q12" i="1" l="1"/>
  <c r="Q11" i="1"/>
  <c r="Q10" i="1"/>
  <c r="Q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<sst xmlns="http://schemas.openxmlformats.org/spreadsheetml/2006/main" count="555" uniqueCount="66">
  <si>
    <t>CustomerId</t>
  </si>
  <si>
    <t>Cliente</t>
  </si>
  <si>
    <t>Anio</t>
  </si>
  <si>
    <t>Mes</t>
  </si>
  <si>
    <t>NombreMes</t>
  </si>
  <si>
    <t>BultosRecibidos</t>
  </si>
  <si>
    <t>TiempoRecepcionHoras</t>
  </si>
  <si>
    <t>PedidosDespachados</t>
  </si>
  <si>
    <t>PorcentajeDespachoATiempo</t>
  </si>
  <si>
    <t>TiempoCicloPedidoHoras</t>
  </si>
  <si>
    <t>PorcentajePedidoPerfecto</t>
  </si>
  <si>
    <t>PorcentajePedidoConAdjunto</t>
  </si>
  <si>
    <t>StockCierre</t>
  </si>
  <si>
    <t>SalidasMes</t>
  </si>
  <si>
    <t>DiasInventario</t>
  </si>
  <si>
    <t>PorcentajeRotacion</t>
  </si>
  <si>
    <t>SkusSinMovimiento30a60Dias</t>
  </si>
  <si>
    <t>SkusSinMovimiento61a90Dias</t>
  </si>
  <si>
    <t>SkusSinMovimiento91a120Dias</t>
  </si>
  <si>
    <t>SkusSinMovimientoMas120Dias</t>
  </si>
  <si>
    <t>UnidadesSinMovimiento30a60Dias</t>
  </si>
  <si>
    <t>UnidadesSinMovimiento61a90Dias</t>
  </si>
  <si>
    <t>UnidadesSinMovimiento91a120Dias</t>
  </si>
  <si>
    <t>UnidadesSinMovimientoMas120Dias</t>
  </si>
  <si>
    <t>PosicionesRack</t>
  </si>
  <si>
    <t>PalletsPiso</t>
  </si>
  <si>
    <t>OcupacionTotal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</si>
  <si>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</si>
  <si>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</si>
  <si>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</si>
  <si>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</si>
  <si>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</si>
  <si>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</si>
  <si>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</si>
  <si>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</si>
  <si>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</si>
  <si>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CORCOM</t>
  </si>
  <si>
    <t>BODY CENTER, S.A. DE C.V.</t>
  </si>
  <si>
    <t>PIMI S.A DE C.V</t>
  </si>
  <si>
    <t>SUMINISTROS DE RESTAURANTES, S.A. DE C.V.</t>
  </si>
  <si>
    <t>Octubre</t>
  </si>
  <si>
    <t>Noviembre</t>
  </si>
  <si>
    <t>Diciembre</t>
  </si>
  <si>
    <t xml:space="preserve"> </t>
  </si>
  <si>
    <t>30 a 60 días</t>
  </si>
  <si>
    <t>61 a 90 días</t>
  </si>
  <si>
    <t>91 a 120 días</t>
  </si>
  <si>
    <t>+120 días</t>
  </si>
  <si>
    <t>Clientes</t>
  </si>
  <si>
    <t>Mes del año</t>
  </si>
  <si>
    <t>AGROINDUSTRIAS SAN JULIAN S.A.</t>
  </si>
  <si>
    <t>TITAN PEAK</t>
  </si>
  <si>
    <t>DISTRIBUIDORA EL CARMEN, S.A.</t>
  </si>
  <si>
    <t>LUBRICANTES Y MAS DE C.V.</t>
  </si>
  <si>
    <t>TECH LOGISTICS EL SALVADOR</t>
  </si>
  <si>
    <t>FARMACIAS UNIDAS S.A.</t>
  </si>
  <si>
    <t>SUPERMERCADOS LOCALES</t>
  </si>
  <si>
    <t>IMPORTADORA GLOBO</t>
  </si>
  <si>
    <t>TEXTILES PREMIUM S.A.</t>
  </si>
  <si>
    <t>COMERCIALIZADORA SUR</t>
  </si>
  <si>
    <t>REPUESTOS AUTOMOTRICES S.A.</t>
  </si>
  <si>
    <t>ALIMENTOS DEL NORTE</t>
  </si>
  <si>
    <t>BEBIDAS REFRESCANTES S.A.</t>
  </si>
  <si>
    <t>CONSTRUCTORA MODERNA</t>
  </si>
  <si>
    <t>ELECTRODOMESTICOS EL SALVADOR</t>
  </si>
  <si>
    <t>MUEBLES Y DECORACION S.A. DE C.V.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</si>
</sst>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37021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61616"/>
        <bgColor indexed="64"/>
      </patternFill>
    </fill>
    <fill>
      <patternFill patternType="solid">
        <fgColor rgb="FFF370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333333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rgb="FFF37021"/>
      </bottom>
      <diagonal/>
    </border>
    <border>
      <left/>
      <right/>
      <top style="medium">
        <color rgb="FFF37021"/>
      </top>
      <bottom style="medium">
        <color rgb="FFF370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4" fillId="0" borderId="0" xfId="0" applyFont="1"/>
    <xf numFmtId="0" fontId="3" fillId="4" borderId="1" xfId="0" applyFont="1" applyFill="1" applyBorder="1"/>
    <xf numFmtId="0" fontId="3" fillId="4" borderId="2" xfId="0" applyFont="1" applyFill="1" applyBorder="1"/>
    <xf numFmtId="0" fontId="6" fillId="2" borderId="0" xfId="0" applyFont="1" applyFill="1"/>
    <xf numFmtId="0" fontId="5" fillId="5" borderId="3" xfId="0" applyFont="1" applyFill="1" applyBorder="1" applyAlignment="1">
      <alignment wrapText="1"/>
    </xf>
    <xf numFmtId="0" fontId="5" fillId="5" borderId="4" xfId="0" applyFont="1" applyFill="1" applyBorder="1"/>
    <xf numFmtId="0" fontId="3" fillId="4" borderId="5" xfId="0" applyFont="1" applyFill="1" applyBorder="1"/>
    <xf numFmtId="164" fontId="0" fillId="0" borderId="0" xfId="2" applyNumberFormat="1" applyFont="1"/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165" fontId="0" fillId="0" borderId="0" xfId="1" applyNumberFormat="1" applyFont="1"/>
    <xf numFmtId="0" fontId="0" fillId="3" borderId="6" xfId="0" applyFill="1" applyBorder="1"/>
    <xf numFmtId="0" fontId="0" fillId="0" borderId="7" xfId="0" applyBorder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37021"/>
      <color rgb="FFFFFFFF"/>
      <color rgb="FF9E9E9E"/>
      <color rgb="FF5F5F5F"/>
      <color rgb="FF262626"/>
      <color rgb="FF333333"/>
      <color rgb="FF1616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18800880271291"/>
          <c:y val="6.5242935362324797E-2"/>
          <c:w val="0.77127092575399359"/>
          <c:h val="0.8695141292753504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F3702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2767708802550834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D8-4C76-991F-4F59D75F7258}"/>
                </c:ext>
              </c:extLst>
            </c:dLbl>
            <c:dLbl>
              <c:idx val="1"/>
              <c:layout>
                <c:manualLayout>
                  <c:x val="0.13644753370126089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D8-4C76-991F-4F59D75F7258}"/>
                </c:ext>
              </c:extLst>
            </c:dLbl>
            <c:dLbl>
              <c:idx val="2"/>
              <c:layout>
                <c:manualLayout>
                  <c:x val="0.35951593297145368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D8-4C76-991F-4F59D75F7258}"/>
                </c:ext>
              </c:extLst>
            </c:dLbl>
            <c:dLbl>
              <c:idx val="3"/>
              <c:layout>
                <c:manualLayout>
                  <c:x val="0.1174656018619601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D8-4C76-991F-4F59D75F7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s-SV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DASHBOARD!$P$10:$P$13</c:f>
              <c:strCache>
                <c:ptCount val="4"/>
                <c:pt idx="0">
                  <c:v>30 a 60 días</c:v>
                </c:pt>
                <c:pt idx="1">
                  <c:v>61 a 90 días</c:v>
                </c:pt>
                <c:pt idx="2">
                  <c:v>91 a 120 días</c:v>
                </c:pt>
                <c:pt idx="3">
                  <c:v>+120 días</c:v>
                </c:pt>
              </c:strCache>
            </c:strRef>
          </c:cat>
          <c:val>
            <c:numRef>
              <c:f>DASHBOARD!$Q$10:$Q$13</c:f>
              <c:numCache>
                <c:formatCode>General</c:formatCode>
                <c:ptCount val="4"/>
                <c:pt idx="0">
                  <c:v>31817</c:v>
                </c:pt>
                <c:pt idx="1">
                  <c:v>3898</c:v>
                </c:pt>
                <c:pt idx="2">
                  <c:v>205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8-4C76-991F-4F59D75F72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09343640"/>
        <c:axId val="609344696"/>
      </c:barChart>
      <c:catAx>
        <c:axId val="609343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609344696"/>
        <c:crosses val="autoZero"/>
        <c:auto val="1"/>
        <c:lblAlgn val="ctr"/>
        <c:lblOffset val="100"/>
        <c:noMultiLvlLbl val="0"/>
      </c:catAx>
      <c:valAx>
        <c:axId val="609344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934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276532</xdr:colOff>
      <xdr:row>0</xdr:row>
      <xdr:rowOff>92177</xdr:rowOff>
    </xdr:from>
    <xdr:to>
      <xdr:col>1</xdr:col>
      <xdr:colOff>97008</xdr:colOff>
      <xdr:row>2</xdr:row>
      <xdr:rowOff>98527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08FCA47-BADC-410E-BD0C-C266A3A52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532" y="92177"/>
          <a:ext cx="465718" cy="641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20484</xdr:colOff>
      <xdr:row>0</xdr:row>
      <xdr:rowOff>112661</xdr:rowOff>
    </xdr:from>
    <xdr:to>
      <xdr:col>10</xdr:col>
      <xdr:colOff>358468</xdr:colOff>
      <xdr:row>3</xdr:row>
      <xdr:rowOff>122903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2423DE3-A275-F0AA-EBA9-F59D181E5DE1}"/>
            </a:ext>
          </a:extLst>
        </xdr:cNvPr>
        <xdr:cNvSpPr txBox="1"/>
      </xdr:nvSpPr>
      <xdr:spPr>
        <a:xfrm>
          <a:off x="1310968" y="112661"/>
          <a:ext cx="5499919" cy="850081"/>
        </a:xfrm>
        <a:prstGeom prst="rect">
          <a:avLst/>
        </a:prstGeom>
        <a:solidFill>
          <a:srgbClr val="16161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SV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Franklin Gothic Demi Cond" panose="020B0706030402020204" pitchFamily="34" charset="0"/>
            </a:rPr>
            <a:t>REPORTE LOGÍSTICO MENSUAL</a:t>
          </a:r>
        </a:p>
      </xdr:txBody>
    </xdr:sp>
    <xdr:clientData/>
  </xdr:twoCellAnchor>
  <xdr:twoCellAnchor editAs="absolute">
    <xdr:from>
      <xdr:col>0</xdr:col>
      <xdr:colOff>450645</xdr:colOff>
      <xdr:row>4</xdr:row>
      <xdr:rowOff>117783</xdr:rowOff>
    </xdr:from>
    <xdr:to>
      <xdr:col>3</xdr:col>
      <xdr:colOff>512097</xdr:colOff>
      <xdr:row>9</xdr:row>
      <xdr:rowOff>183024</xdr:rowOff>
    </xdr:to>
    <xdr:sp macro="" textlink="">
      <xdr:nvSpPr>
        <xdr:cNvPr id="6" name="KPI 1 fondo">
          <a:extLst>
            <a:ext uri="{FF2B5EF4-FFF2-40B4-BE49-F238E27FC236}">
              <a16:creationId xmlns:a16="http://schemas.microsoft.com/office/drawing/2014/main" id="{874F18CB-D427-412A-AD48-1ED2DED40AB9}"/>
            </a:ext>
          </a:extLst>
        </xdr:cNvPr>
        <xdr:cNvSpPr/>
      </xdr:nvSpPr>
      <xdr:spPr>
        <a:xfrm>
          <a:off x="450645" y="1141498"/>
          <a:ext cx="2010961" cy="999937"/>
        </a:xfrm>
        <a:prstGeom prst="roundRect">
          <a:avLst>
            <a:gd name="adj" fmla="val 9000"/>
          </a:avLst>
        </a:prstGeom>
        <a:solidFill>
          <a:srgbClr val="262626"/>
        </a:solidFill>
        <a:ln w="3175"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0</xdr:col>
      <xdr:colOff>604747</xdr:colOff>
      <xdr:row>5</xdr:row>
      <xdr:rowOff>32365</xdr:rowOff>
    </xdr:from>
    <xdr:to>
      <xdr:col>3</xdr:col>
      <xdr:colOff>613184</xdr:colOff>
      <xdr:row>5</xdr:row>
      <xdr:rowOff>180795</xdr:rowOff>
    </xdr:to>
    <xdr:sp macro="" textlink="">
      <xdr:nvSpPr>
        <xdr:cNvPr id="7" name="KPI 1 titulo">
          <a:extLst>
            <a:ext uri="{FF2B5EF4-FFF2-40B4-BE49-F238E27FC236}">
              <a16:creationId xmlns:a16="http://schemas.microsoft.com/office/drawing/2014/main" id="{0E0EBC55-6348-4EF7-A30A-5F971437C806}"/>
            </a:ext>
          </a:extLst>
        </xdr:cNvPr>
        <xdr:cNvSpPr txBox="1"/>
      </xdr:nvSpPr>
      <xdr:spPr>
        <a:xfrm>
          <a:off x="604747" y="1261397"/>
          <a:ext cx="1944163" cy="14843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800" b="1">
              <a:solidFill>
                <a:srgbClr val="9CA3AF"/>
              </a:solidFill>
              <a:latin typeface="Arial"/>
              <a:ea typeface="+mn-ea"/>
              <a:cs typeface="Arial"/>
            </a:rPr>
            <a:t>VOLUMEN RECIBIDO</a:t>
          </a:r>
        </a:p>
      </xdr:txBody>
    </xdr:sp>
    <xdr:clientData fLocksWithSheet="0"/>
  </xdr:twoCellAnchor>
  <xdr:twoCellAnchor editAs="absolute">
    <xdr:from>
      <xdr:col>0</xdr:col>
      <xdr:colOff>604747</xdr:colOff>
      <xdr:row>6</xdr:row>
      <xdr:rowOff>5248</xdr:rowOff>
    </xdr:from>
    <xdr:to>
      <xdr:col>3</xdr:col>
      <xdr:colOff>613184</xdr:colOff>
      <xdr:row>7</xdr:row>
      <xdr:rowOff>168632</xdr:rowOff>
    </xdr:to>
    <xdr:sp macro="" textlink="$U$3">
      <xdr:nvSpPr>
        <xdr:cNvPr id="8" name="KPI 1 valor">
          <a:extLst>
            <a:ext uri="{FF2B5EF4-FFF2-40B4-BE49-F238E27FC236}">
              <a16:creationId xmlns:a16="http://schemas.microsoft.com/office/drawing/2014/main" id="{A0989AC5-E7E5-43C9-97D1-B6B2D07BEACE}"/>
            </a:ext>
          </a:extLst>
        </xdr:cNvPr>
        <xdr:cNvSpPr txBox="1"/>
      </xdr:nvSpPr>
      <xdr:spPr>
        <a:xfrm>
          <a:off x="604747" y="1428877"/>
          <a:ext cx="1944163" cy="357981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marL="0" indent="0" algn="l"/>
          <a:fld id="{7466E313-6161-4B95-8BD3-67298C7163F9}" type="TxLink">
            <a:rPr lang="en-US" sz="2600" b="1">
              <a:solidFill>
                <a:srgbClr val="FFFFFF"/>
              </a:solidFill>
              <a:latin typeface="Arial Narrow"/>
              <a:ea typeface="+mn-ea"/>
              <a:cs typeface="Arial Narrow"/>
            </a:rPr>
            <a:pPr marL="0" indent="0" algn="l"/>
            <a:t> 76,432 </a:t>
          </a:fld>
          <a:endParaRPr lang="es-SV" sz="2600" b="1">
            <a:solidFill>
              <a:srgbClr val="FFFFFF"/>
            </a:solidFill>
            <a:latin typeface="Arial Narrow"/>
            <a:ea typeface="+mn-ea"/>
            <a:cs typeface="Arial Narrow"/>
          </a:endParaRPr>
        </a:p>
      </xdr:txBody>
    </xdr:sp>
    <xdr:clientData fLocksWithSheet="0"/>
  </xdr:twoCellAnchor>
  <xdr:twoCellAnchor editAs="absolute">
    <xdr:from>
      <xdr:col>0</xdr:col>
      <xdr:colOff>604747</xdr:colOff>
      <xdr:row>8</xdr:row>
      <xdr:rowOff>32618</xdr:rowOff>
    </xdr:from>
    <xdr:to>
      <xdr:col>3</xdr:col>
      <xdr:colOff>613184</xdr:colOff>
      <xdr:row>9</xdr:row>
      <xdr:rowOff>5505</xdr:rowOff>
    </xdr:to>
    <xdr:sp macro="" textlink="">
      <xdr:nvSpPr>
        <xdr:cNvPr id="9" name="KPI 1 detalle">
          <a:extLst>
            <a:ext uri="{FF2B5EF4-FFF2-40B4-BE49-F238E27FC236}">
              <a16:creationId xmlns:a16="http://schemas.microsoft.com/office/drawing/2014/main" id="{D53D67C4-2B32-4EBE-8A12-3D90BF816182}"/>
            </a:ext>
          </a:extLst>
        </xdr:cNvPr>
        <xdr:cNvSpPr txBox="1"/>
      </xdr:nvSpPr>
      <xdr:spPr>
        <a:xfrm>
          <a:off x="604747" y="1845441"/>
          <a:ext cx="1944163" cy="167483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900" b="0">
              <a:solidFill>
                <a:srgbClr val="9CA3AF"/>
              </a:solidFill>
              <a:latin typeface="Arial"/>
              <a:ea typeface="+mn-ea"/>
              <a:cs typeface="Arial"/>
            </a:rPr>
            <a:t>Ingresados al mes</a:t>
          </a:r>
        </a:p>
      </xdr:txBody>
    </xdr:sp>
    <xdr:clientData fLocksWithSheet="0"/>
  </xdr:twoCellAnchor>
  <xdr:twoCellAnchor editAs="absolute">
    <xdr:from>
      <xdr:col>0</xdr:col>
      <xdr:colOff>451985</xdr:colOff>
      <xdr:row>5</xdr:row>
      <xdr:rowOff>103280</xdr:rowOff>
    </xdr:from>
    <xdr:to>
      <xdr:col>0</xdr:col>
      <xdr:colOff>453995</xdr:colOff>
      <xdr:row>9</xdr:row>
      <xdr:rowOff>723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1055384D-B505-CD12-AF08-9D5F5360CBB0}"/>
            </a:ext>
          </a:extLst>
        </xdr:cNvPr>
        <xdr:cNvCxnSpPr/>
      </xdr:nvCxnSpPr>
      <xdr:spPr>
        <a:xfrm>
          <a:off x="451985" y="1313934"/>
          <a:ext cx="2010" cy="644477"/>
        </a:xfrm>
        <a:prstGeom prst="line">
          <a:avLst/>
        </a:prstGeom>
        <a:ln w="38100">
          <a:solidFill>
            <a:srgbClr val="9E9E9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223791</xdr:colOff>
      <xdr:row>4</xdr:row>
      <xdr:rowOff>117783</xdr:rowOff>
    </xdr:from>
    <xdr:to>
      <xdr:col>7</xdr:col>
      <xdr:colOff>285243</xdr:colOff>
      <xdr:row>9</xdr:row>
      <xdr:rowOff>183024</xdr:rowOff>
    </xdr:to>
    <xdr:sp macro="" textlink="">
      <xdr:nvSpPr>
        <xdr:cNvPr id="17" name="KPI 1 fondo">
          <a:extLst>
            <a:ext uri="{FF2B5EF4-FFF2-40B4-BE49-F238E27FC236}">
              <a16:creationId xmlns:a16="http://schemas.microsoft.com/office/drawing/2014/main" id="{0088B2F1-8C53-9431-C0BD-D014671FE5BF}"/>
            </a:ext>
          </a:extLst>
        </xdr:cNvPr>
        <xdr:cNvSpPr/>
      </xdr:nvSpPr>
      <xdr:spPr>
        <a:xfrm>
          <a:off x="2823137" y="1141498"/>
          <a:ext cx="2010961" cy="999937"/>
        </a:xfrm>
        <a:prstGeom prst="roundRect">
          <a:avLst>
            <a:gd name="adj" fmla="val 9000"/>
          </a:avLst>
        </a:prstGeom>
        <a:solidFill>
          <a:srgbClr val="262626"/>
        </a:solidFill>
        <a:ln w="3175"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4</xdr:col>
      <xdr:colOff>321326</xdr:colOff>
      <xdr:row>5</xdr:row>
      <xdr:rowOff>45903</xdr:rowOff>
    </xdr:from>
    <xdr:to>
      <xdr:col>7</xdr:col>
      <xdr:colOff>387861</xdr:colOff>
      <xdr:row>6</xdr:row>
      <xdr:rowOff>4098</xdr:rowOff>
    </xdr:to>
    <xdr:sp macro="" textlink="">
      <xdr:nvSpPr>
        <xdr:cNvPr id="18" name="KPI 1 titulo">
          <a:extLst>
            <a:ext uri="{FF2B5EF4-FFF2-40B4-BE49-F238E27FC236}">
              <a16:creationId xmlns:a16="http://schemas.microsoft.com/office/drawing/2014/main" id="{64AB7377-2823-BB71-3F3F-A4FE7B2F3CBA}"/>
            </a:ext>
          </a:extLst>
        </xdr:cNvPr>
        <xdr:cNvSpPr txBox="1"/>
      </xdr:nvSpPr>
      <xdr:spPr>
        <a:xfrm>
          <a:off x="2891928" y="1273825"/>
          <a:ext cx="1994487" cy="153285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800" b="1">
              <a:solidFill>
                <a:srgbClr val="9CA3AF"/>
              </a:solidFill>
              <a:latin typeface="Arial"/>
              <a:ea typeface="+mn-ea"/>
              <a:cs typeface="Arial"/>
            </a:rPr>
            <a:t>%</a:t>
          </a:r>
          <a:r>
            <a:rPr lang="es-SV" sz="800" b="1" baseline="0">
              <a:solidFill>
                <a:srgbClr val="9CA3AF"/>
              </a:solidFill>
              <a:latin typeface="Arial"/>
              <a:ea typeface="+mn-ea"/>
              <a:cs typeface="Arial"/>
            </a:rPr>
            <a:t> DE CUMPLIMIENTO DE DESPACHO</a:t>
          </a:r>
          <a:endParaRPr lang="es-SV" sz="800" b="1">
            <a:solidFill>
              <a:srgbClr val="9CA3AF"/>
            </a:solidFill>
            <a:latin typeface="Arial"/>
            <a:ea typeface="+mn-ea"/>
            <a:cs typeface="Arial"/>
          </a:endParaRPr>
        </a:p>
      </xdr:txBody>
    </xdr:sp>
    <xdr:clientData fLocksWithSheet="0"/>
  </xdr:twoCellAnchor>
  <xdr:twoCellAnchor editAs="absolute">
    <xdr:from>
      <xdr:col>4</xdr:col>
      <xdr:colOff>379424</xdr:colOff>
      <xdr:row>6</xdr:row>
      <xdr:rowOff>15490</xdr:rowOff>
    </xdr:from>
    <xdr:to>
      <xdr:col>7</xdr:col>
      <xdr:colOff>387861</xdr:colOff>
      <xdr:row>7</xdr:row>
      <xdr:rowOff>178874</xdr:rowOff>
    </xdr:to>
    <xdr:sp macro="" textlink="$X$3">
      <xdr:nvSpPr>
        <xdr:cNvPr id="19" name="KPI 1 valor">
          <a:extLst>
            <a:ext uri="{FF2B5EF4-FFF2-40B4-BE49-F238E27FC236}">
              <a16:creationId xmlns:a16="http://schemas.microsoft.com/office/drawing/2014/main" id="{99C76CB5-19CE-EA1E-DD82-C932787C9A29}"/>
            </a:ext>
          </a:extLst>
        </xdr:cNvPr>
        <xdr:cNvSpPr txBox="1"/>
      </xdr:nvSpPr>
      <xdr:spPr>
        <a:xfrm>
          <a:off x="2978770" y="1413083"/>
          <a:ext cx="1957946" cy="350324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marL="0" indent="0" algn="l"/>
          <a:fld id="{469A7BB2-6C78-4D61-9140-4A04414CF071}" type="TxLink">
            <a:rPr lang="en-US" sz="2600" b="1">
              <a:solidFill>
                <a:srgbClr val="FFFFFF"/>
              </a:solidFill>
              <a:latin typeface="Arial Narrow"/>
              <a:ea typeface="+mn-ea"/>
              <a:cs typeface="Arial Narrow"/>
            </a:rPr>
            <a:pPr marL="0" indent="0" algn="l"/>
            <a:t>96.1%</a:t>
          </a:fld>
          <a:endParaRPr lang="es-SV" sz="2600" b="1">
            <a:solidFill>
              <a:srgbClr val="FFFFFF"/>
            </a:solidFill>
            <a:latin typeface="Arial Narrow"/>
            <a:ea typeface="+mn-ea"/>
            <a:cs typeface="Arial Narrow"/>
          </a:endParaRPr>
        </a:p>
      </xdr:txBody>
    </xdr:sp>
    <xdr:clientData fLocksWithSheet="0"/>
  </xdr:twoCellAnchor>
  <xdr:twoCellAnchor editAs="absolute">
    <xdr:from>
      <xdr:col>4</xdr:col>
      <xdr:colOff>379424</xdr:colOff>
      <xdr:row>8</xdr:row>
      <xdr:rowOff>22377</xdr:rowOff>
    </xdr:from>
    <xdr:to>
      <xdr:col>7</xdr:col>
      <xdr:colOff>387861</xdr:colOff>
      <xdr:row>9</xdr:row>
      <xdr:rowOff>2921</xdr:rowOff>
    </xdr:to>
    <xdr:sp macro="" textlink="">
      <xdr:nvSpPr>
        <xdr:cNvPr id="20" name="KPI 1 detalle">
          <a:extLst>
            <a:ext uri="{FF2B5EF4-FFF2-40B4-BE49-F238E27FC236}">
              <a16:creationId xmlns:a16="http://schemas.microsoft.com/office/drawing/2014/main" id="{4A159C01-98EA-F990-CF57-94A460766B30}"/>
            </a:ext>
          </a:extLst>
        </xdr:cNvPr>
        <xdr:cNvSpPr txBox="1"/>
      </xdr:nvSpPr>
      <xdr:spPr>
        <a:xfrm>
          <a:off x="2960392" y="1835200"/>
          <a:ext cx="1944163" cy="167483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900" b="0">
              <a:solidFill>
                <a:srgbClr val="9CA3AF"/>
              </a:solidFill>
              <a:latin typeface="Arial"/>
              <a:ea typeface="+mn-ea"/>
              <a:cs typeface="Arial"/>
            </a:rPr>
            <a:t>De los pedidos procesados</a:t>
          </a:r>
        </a:p>
      </xdr:txBody>
    </xdr:sp>
    <xdr:clientData fLocksWithSheet="0"/>
  </xdr:twoCellAnchor>
  <xdr:twoCellAnchor editAs="absolute">
    <xdr:from>
      <xdr:col>8</xdr:col>
      <xdr:colOff>2436</xdr:colOff>
      <xdr:row>4</xdr:row>
      <xdr:rowOff>117783</xdr:rowOff>
    </xdr:from>
    <xdr:to>
      <xdr:col>11</xdr:col>
      <xdr:colOff>58389</xdr:colOff>
      <xdr:row>9</xdr:row>
      <xdr:rowOff>183024</xdr:rowOff>
    </xdr:to>
    <xdr:sp macro="" textlink="">
      <xdr:nvSpPr>
        <xdr:cNvPr id="22" name="KPI 1 fondo">
          <a:extLst>
            <a:ext uri="{FF2B5EF4-FFF2-40B4-BE49-F238E27FC236}">
              <a16:creationId xmlns:a16="http://schemas.microsoft.com/office/drawing/2014/main" id="{C3991960-3B1B-6EC2-EEC4-1FC140FF5B86}"/>
            </a:ext>
          </a:extLst>
        </xdr:cNvPr>
        <xdr:cNvSpPr/>
      </xdr:nvSpPr>
      <xdr:spPr>
        <a:xfrm>
          <a:off x="5195629" y="1141498"/>
          <a:ext cx="2010961" cy="999937"/>
        </a:xfrm>
        <a:prstGeom prst="roundRect">
          <a:avLst>
            <a:gd name="adj" fmla="val 9000"/>
          </a:avLst>
        </a:prstGeom>
        <a:solidFill>
          <a:srgbClr val="262626"/>
        </a:solidFill>
        <a:ln w="3175"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/>
          <a:endParaRPr lang="es-SV" sz="1100"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8</xdr:col>
      <xdr:colOff>164344</xdr:colOff>
      <xdr:row>5</xdr:row>
      <xdr:rowOff>42606</xdr:rowOff>
    </xdr:from>
    <xdr:to>
      <xdr:col>11</xdr:col>
      <xdr:colOff>172781</xdr:colOff>
      <xdr:row>6</xdr:row>
      <xdr:rowOff>4097</xdr:rowOff>
    </xdr:to>
    <xdr:sp macro="" textlink="">
      <xdr:nvSpPr>
        <xdr:cNvPr id="23" name="KPI 1 titulo">
          <a:extLst>
            <a:ext uri="{FF2B5EF4-FFF2-40B4-BE49-F238E27FC236}">
              <a16:creationId xmlns:a16="http://schemas.microsoft.com/office/drawing/2014/main" id="{CFF204DF-189C-7C3D-2974-16CE0C1F8FF5}"/>
            </a:ext>
          </a:extLst>
        </xdr:cNvPr>
        <xdr:cNvSpPr txBox="1"/>
      </xdr:nvSpPr>
      <xdr:spPr>
        <a:xfrm>
          <a:off x="5326279" y="1271638"/>
          <a:ext cx="1944163" cy="14843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800" b="1">
              <a:solidFill>
                <a:srgbClr val="9CA3AF"/>
              </a:solidFill>
              <a:latin typeface="Arial"/>
              <a:ea typeface="+mn-ea"/>
              <a:cs typeface="Arial"/>
            </a:rPr>
            <a:t>DOCK TO STOCK</a:t>
          </a:r>
        </a:p>
      </xdr:txBody>
    </xdr:sp>
    <xdr:clientData fLocksWithSheet="0"/>
  </xdr:twoCellAnchor>
  <xdr:twoCellAnchor editAs="absolute">
    <xdr:from>
      <xdr:col>8</xdr:col>
      <xdr:colOff>164344</xdr:colOff>
      <xdr:row>6</xdr:row>
      <xdr:rowOff>15489</xdr:rowOff>
    </xdr:from>
    <xdr:to>
      <xdr:col>11</xdr:col>
      <xdr:colOff>172781</xdr:colOff>
      <xdr:row>7</xdr:row>
      <xdr:rowOff>178873</xdr:rowOff>
    </xdr:to>
    <xdr:sp macro="" textlink="$Y$3">
      <xdr:nvSpPr>
        <xdr:cNvPr id="24" name="KPI 1 valor">
          <a:extLst>
            <a:ext uri="{FF2B5EF4-FFF2-40B4-BE49-F238E27FC236}">
              <a16:creationId xmlns:a16="http://schemas.microsoft.com/office/drawing/2014/main" id="{A1D9DDBE-6A02-06F1-51B8-904A99629F1D}"/>
            </a:ext>
          </a:extLst>
        </xdr:cNvPr>
        <xdr:cNvSpPr txBox="1"/>
      </xdr:nvSpPr>
      <xdr:spPr>
        <a:xfrm>
          <a:off x="5326279" y="1439118"/>
          <a:ext cx="1944163" cy="357981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marL="0" indent="0" algn="l"/>
          <a:fld id="{C89E203B-5B18-4BB0-8CA5-2A18508D160C}" type="TxLink">
            <a:rPr lang="en-US" sz="2600" b="1">
              <a:solidFill>
                <a:srgbClr val="FFFFFF"/>
              </a:solidFill>
              <a:latin typeface="Arial Narrow"/>
              <a:ea typeface="+mn-ea"/>
              <a:cs typeface="Arial Narrow"/>
            </a:rPr>
            <a:pPr marL="0" indent="0" algn="l"/>
            <a:t>62961</a:t>
          </a:fld>
          <a:endParaRPr lang="es-SV" sz="2600" b="1">
            <a:solidFill>
              <a:srgbClr val="FFFFFF"/>
            </a:solidFill>
            <a:latin typeface="Arial Narrow"/>
            <a:ea typeface="+mn-ea"/>
            <a:cs typeface="Arial Narrow"/>
          </a:endParaRPr>
        </a:p>
      </xdr:txBody>
    </xdr:sp>
    <xdr:clientData fLocksWithSheet="0"/>
  </xdr:twoCellAnchor>
  <xdr:twoCellAnchor editAs="absolute">
    <xdr:from>
      <xdr:col>8</xdr:col>
      <xdr:colOff>164344</xdr:colOff>
      <xdr:row>8</xdr:row>
      <xdr:rowOff>22376</xdr:rowOff>
    </xdr:from>
    <xdr:to>
      <xdr:col>11</xdr:col>
      <xdr:colOff>172781</xdr:colOff>
      <xdr:row>9</xdr:row>
      <xdr:rowOff>2920</xdr:rowOff>
    </xdr:to>
    <xdr:sp macro="" textlink="">
      <xdr:nvSpPr>
        <xdr:cNvPr id="25" name="KPI 1 detalle">
          <a:extLst>
            <a:ext uri="{FF2B5EF4-FFF2-40B4-BE49-F238E27FC236}">
              <a16:creationId xmlns:a16="http://schemas.microsoft.com/office/drawing/2014/main" id="{52532F87-3235-1ABB-708F-F204C54363C0}"/>
            </a:ext>
          </a:extLst>
        </xdr:cNvPr>
        <xdr:cNvSpPr txBox="1"/>
      </xdr:nvSpPr>
      <xdr:spPr>
        <a:xfrm>
          <a:off x="5326279" y="1835199"/>
          <a:ext cx="1944163" cy="167483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900" b="0">
              <a:solidFill>
                <a:srgbClr val="9CA3AF"/>
              </a:solidFill>
              <a:latin typeface="Arial"/>
              <a:ea typeface="+mn-ea"/>
              <a:cs typeface="Arial"/>
            </a:rPr>
            <a:t>Horas promedio</a:t>
          </a:r>
        </a:p>
      </xdr:txBody>
    </xdr:sp>
    <xdr:clientData fLocksWithSheet="0"/>
  </xdr:twoCellAnchor>
  <xdr:twoCellAnchor editAs="absolute">
    <xdr:from>
      <xdr:col>11</xdr:col>
      <xdr:colOff>419920</xdr:colOff>
      <xdr:row>4</xdr:row>
      <xdr:rowOff>117783</xdr:rowOff>
    </xdr:from>
    <xdr:to>
      <xdr:col>12</xdr:col>
      <xdr:colOff>122904</xdr:colOff>
      <xdr:row>9</xdr:row>
      <xdr:rowOff>183024</xdr:rowOff>
    </xdr:to>
    <xdr:sp macro="" textlink="">
      <xdr:nvSpPr>
        <xdr:cNvPr id="27" name="KPI 1 fondo">
          <a:extLst>
            <a:ext uri="{FF2B5EF4-FFF2-40B4-BE49-F238E27FC236}">
              <a16:creationId xmlns:a16="http://schemas.microsoft.com/office/drawing/2014/main" id="{CF8911EF-AAB5-6885-0468-2A11EBE07E51}"/>
            </a:ext>
          </a:extLst>
        </xdr:cNvPr>
        <xdr:cNvSpPr/>
      </xdr:nvSpPr>
      <xdr:spPr>
        <a:xfrm>
          <a:off x="7568121" y="1141498"/>
          <a:ext cx="1999666" cy="999937"/>
        </a:xfrm>
        <a:prstGeom prst="roundRect">
          <a:avLst>
            <a:gd name="adj" fmla="val 9000"/>
          </a:avLst>
        </a:prstGeom>
        <a:solidFill>
          <a:srgbClr val="262626"/>
        </a:solidFill>
        <a:ln w="3175"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/>
          <a:endParaRPr lang="es-SV" sz="1100"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11</xdr:col>
      <xdr:colOff>574022</xdr:colOff>
      <xdr:row>5</xdr:row>
      <xdr:rowOff>32364</xdr:rowOff>
    </xdr:from>
    <xdr:to>
      <xdr:col>12</xdr:col>
      <xdr:colOff>223991</xdr:colOff>
      <xdr:row>5</xdr:row>
      <xdr:rowOff>180794</xdr:rowOff>
    </xdr:to>
    <xdr:sp macro="" textlink="">
      <xdr:nvSpPr>
        <xdr:cNvPr id="28" name="KPI 1 titulo">
          <a:extLst>
            <a:ext uri="{FF2B5EF4-FFF2-40B4-BE49-F238E27FC236}">
              <a16:creationId xmlns:a16="http://schemas.microsoft.com/office/drawing/2014/main" id="{C7155241-3CFE-B10E-C036-3522D89DB467}"/>
            </a:ext>
          </a:extLst>
        </xdr:cNvPr>
        <xdr:cNvSpPr txBox="1"/>
      </xdr:nvSpPr>
      <xdr:spPr>
        <a:xfrm>
          <a:off x="7671683" y="1261396"/>
          <a:ext cx="1944163" cy="14843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800" b="1">
              <a:solidFill>
                <a:srgbClr val="9CA3AF"/>
              </a:solidFill>
              <a:latin typeface="Arial"/>
              <a:ea typeface="+mn-ea"/>
              <a:cs typeface="Arial"/>
            </a:rPr>
            <a:t>PEDIDO PERFECTO</a:t>
          </a:r>
        </a:p>
      </xdr:txBody>
    </xdr:sp>
    <xdr:clientData fLocksWithSheet="0"/>
  </xdr:twoCellAnchor>
  <xdr:twoCellAnchor editAs="absolute">
    <xdr:from>
      <xdr:col>11</xdr:col>
      <xdr:colOff>574022</xdr:colOff>
      <xdr:row>6</xdr:row>
      <xdr:rowOff>5247</xdr:rowOff>
    </xdr:from>
    <xdr:to>
      <xdr:col>12</xdr:col>
      <xdr:colOff>223991</xdr:colOff>
      <xdr:row>7</xdr:row>
      <xdr:rowOff>168631</xdr:rowOff>
    </xdr:to>
    <xdr:sp macro="" textlink="$Z$3">
      <xdr:nvSpPr>
        <xdr:cNvPr id="29" name="KPI 1 valor">
          <a:extLst>
            <a:ext uri="{FF2B5EF4-FFF2-40B4-BE49-F238E27FC236}">
              <a16:creationId xmlns:a16="http://schemas.microsoft.com/office/drawing/2014/main" id="{C56ADA12-645B-7252-ABFB-518D52617F75}"/>
            </a:ext>
          </a:extLst>
        </xdr:cNvPr>
        <xdr:cNvSpPr txBox="1"/>
      </xdr:nvSpPr>
      <xdr:spPr>
        <a:xfrm>
          <a:off x="7671683" y="1428876"/>
          <a:ext cx="1944163" cy="357981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ctr">
          <a:noAutofit/>
        </a:bodyPr>
        <a:lstStyle/>
        <a:p>
          <a:pPr marL="0" indent="0" algn="l"/>
          <a:fld id="{C34F9C3B-0F0A-4C21-955D-5FB8BFD56E66}" type="TxLink">
            <a:rPr lang="en-US" sz="2600" b="1">
              <a:solidFill>
                <a:srgbClr val="FFFFFF"/>
              </a:solidFill>
              <a:latin typeface="Arial Narrow"/>
              <a:ea typeface="+mn-ea"/>
              <a:cs typeface="Arial Narrow"/>
            </a:rPr>
            <a:pPr marL="0" indent="0" algn="l"/>
            <a:t>52.3%</a:t>
          </a:fld>
          <a:endParaRPr lang="es-SV" sz="2600" b="1">
            <a:solidFill>
              <a:srgbClr val="FFFFFF"/>
            </a:solidFill>
            <a:latin typeface="Arial Narrow"/>
            <a:ea typeface="+mn-ea"/>
            <a:cs typeface="Arial Narrow"/>
          </a:endParaRPr>
        </a:p>
      </xdr:txBody>
    </xdr:sp>
    <xdr:clientData fLocksWithSheet="0"/>
  </xdr:twoCellAnchor>
  <xdr:twoCellAnchor editAs="absolute">
    <xdr:from>
      <xdr:col>11</xdr:col>
      <xdr:colOff>574022</xdr:colOff>
      <xdr:row>8</xdr:row>
      <xdr:rowOff>12134</xdr:rowOff>
    </xdr:from>
    <xdr:to>
      <xdr:col>12</xdr:col>
      <xdr:colOff>223991</xdr:colOff>
      <xdr:row>8</xdr:row>
      <xdr:rowOff>179617</xdr:rowOff>
    </xdr:to>
    <xdr:sp macro="" textlink="">
      <xdr:nvSpPr>
        <xdr:cNvPr id="30" name="KPI 1 detalle">
          <a:extLst>
            <a:ext uri="{FF2B5EF4-FFF2-40B4-BE49-F238E27FC236}">
              <a16:creationId xmlns:a16="http://schemas.microsoft.com/office/drawing/2014/main" id="{73CC27DB-E349-DD22-4545-63DF487E8356}"/>
            </a:ext>
          </a:extLst>
        </xdr:cNvPr>
        <xdr:cNvSpPr txBox="1"/>
      </xdr:nvSpPr>
      <xdr:spPr>
        <a:xfrm>
          <a:off x="7671683" y="1824957"/>
          <a:ext cx="1944163" cy="167483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900" b="0">
              <a:solidFill>
                <a:srgbClr val="9CA3AF"/>
              </a:solidFill>
              <a:latin typeface="Arial"/>
              <a:ea typeface="+mn-ea"/>
              <a:cs typeface="Arial"/>
            </a:rPr>
            <a:t>Entregas sin errores</a:t>
          </a:r>
        </a:p>
      </xdr:txBody>
    </xdr:sp>
    <xdr:clientData fLocksWithSheet="0"/>
  </xdr:twoCellAnchor>
  <xdr:twoCellAnchor editAs="absolute">
    <xdr:from>
      <xdr:col>4</xdr:col>
      <xdr:colOff>230506</xdr:colOff>
      <xdr:row>5</xdr:row>
      <xdr:rowOff>113250</xdr:rowOff>
    </xdr:from>
    <xdr:to>
      <xdr:col>4</xdr:col>
      <xdr:colOff>232516</xdr:colOff>
      <xdr:row>9</xdr:row>
      <xdr:rowOff>9970</xdr:rowOff>
    </xdr:to>
    <xdr:cxnSp macro="">
      <xdr:nvCxnSpPr>
        <xdr:cNvPr id="33" name="Conector recto 32">
          <a:extLst>
            <a:ext uri="{FF2B5EF4-FFF2-40B4-BE49-F238E27FC236}">
              <a16:creationId xmlns:a16="http://schemas.microsoft.com/office/drawing/2014/main" id="{D9391179-1C1B-42B9-8967-7414545034EE}"/>
            </a:ext>
          </a:extLst>
        </xdr:cNvPr>
        <xdr:cNvCxnSpPr/>
      </xdr:nvCxnSpPr>
      <xdr:spPr>
        <a:xfrm>
          <a:off x="2829852" y="1323904"/>
          <a:ext cx="2010" cy="644477"/>
        </a:xfrm>
        <a:prstGeom prst="line">
          <a:avLst/>
        </a:prstGeom>
        <a:ln w="38100">
          <a:solidFill>
            <a:srgbClr val="F3702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26831</xdr:colOff>
      <xdr:row>5</xdr:row>
      <xdr:rowOff>105417</xdr:rowOff>
    </xdr:from>
    <xdr:to>
      <xdr:col>8</xdr:col>
      <xdr:colOff>28841</xdr:colOff>
      <xdr:row>9</xdr:row>
      <xdr:rowOff>2137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9A8C9930-5A57-457B-A42B-16314D782751}"/>
            </a:ext>
          </a:extLst>
        </xdr:cNvPr>
        <xdr:cNvCxnSpPr/>
      </xdr:nvCxnSpPr>
      <xdr:spPr>
        <a:xfrm>
          <a:off x="5225523" y="1316071"/>
          <a:ext cx="2010" cy="644477"/>
        </a:xfrm>
        <a:prstGeom prst="line">
          <a:avLst/>
        </a:prstGeom>
        <a:ln w="38100">
          <a:solidFill>
            <a:srgbClr val="9E9E9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437386</xdr:colOff>
      <xdr:row>5</xdr:row>
      <xdr:rowOff>97583</xdr:rowOff>
    </xdr:from>
    <xdr:to>
      <xdr:col>11</xdr:col>
      <xdr:colOff>439396</xdr:colOff>
      <xdr:row>8</xdr:row>
      <xdr:rowOff>181242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6313BA1E-B5F2-4D70-9516-803D87A679F9}"/>
            </a:ext>
          </a:extLst>
        </xdr:cNvPr>
        <xdr:cNvCxnSpPr/>
      </xdr:nvCxnSpPr>
      <xdr:spPr>
        <a:xfrm>
          <a:off x="7585587" y="1308237"/>
          <a:ext cx="2010" cy="644477"/>
        </a:xfrm>
        <a:prstGeom prst="line">
          <a:avLst/>
        </a:prstGeom>
        <a:ln w="38100">
          <a:solidFill>
            <a:srgbClr val="F3702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358588</xdr:colOff>
      <xdr:row>11</xdr:row>
      <xdr:rowOff>37162</xdr:rowOff>
    </xdr:from>
    <xdr:to>
      <xdr:col>12</xdr:col>
      <xdr:colOff>212912</xdr:colOff>
      <xdr:row>25</xdr:row>
      <xdr:rowOff>66488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E0253695-CF90-AE4B-A22E-0D529FA5C92A}"/>
            </a:ext>
          </a:extLst>
        </xdr:cNvPr>
        <xdr:cNvGrpSpPr/>
      </xdr:nvGrpSpPr>
      <xdr:grpSpPr>
        <a:xfrm>
          <a:off x="6973753" y="2381777"/>
          <a:ext cx="2877203" cy="2608403"/>
          <a:chOff x="6839516" y="2420493"/>
          <a:chExt cx="2800200" cy="2641336"/>
        </a:xfrm>
      </xdr:grpSpPr>
      <xdr:sp macro="" textlink="">
        <xdr:nvSpPr>
          <xdr:cNvPr id="50" name="KPI 1 fondo">
            <a:extLst>
              <a:ext uri="{FF2B5EF4-FFF2-40B4-BE49-F238E27FC236}">
                <a16:creationId xmlns:a16="http://schemas.microsoft.com/office/drawing/2014/main" id="{4E9FBC52-4425-4A54-A9F0-ACAF6C4D9DAB}"/>
              </a:ext>
            </a:extLst>
          </xdr:cNvPr>
          <xdr:cNvSpPr/>
        </xdr:nvSpPr>
        <xdr:spPr>
          <a:xfrm>
            <a:off x="6843482" y="2420493"/>
            <a:ext cx="2794468" cy="2641336"/>
          </a:xfrm>
          <a:prstGeom prst="roundRect">
            <a:avLst>
              <a:gd name="adj" fmla="val 9000"/>
            </a:avLst>
          </a:prstGeom>
          <a:solidFill>
            <a:srgbClr val="262626"/>
          </a:solidFill>
          <a:ln w="3175">
            <a:noFill/>
          </a:ln>
        </xdr:spPr>
        <xdr:txBody>
          <a:bodyPr vertOverflow="clip" horzOverflow="clip" wrap="square" lIns="0" tIns="0" rIns="0" bIns="0" rtlCol="0" anchor="t">
            <a:noAutofit/>
          </a:bodyPr>
          <a:lstStyle/>
          <a:p>
            <a:endParaRPr lang="es-SV"/>
          </a:p>
        </xdr:txBody>
      </xdr:sp>
      <xdr:sp macro="" textlink="">
        <xdr:nvSpPr>
          <xdr:cNvPr id="51" name="KPI 1 titulo">
            <a:extLst>
              <a:ext uri="{FF2B5EF4-FFF2-40B4-BE49-F238E27FC236}">
                <a16:creationId xmlns:a16="http://schemas.microsoft.com/office/drawing/2014/main" id="{620265DD-B168-4C28-AAEF-B5E5573E9227}"/>
              </a:ext>
            </a:extLst>
          </xdr:cNvPr>
          <xdr:cNvSpPr txBox="1"/>
        </xdr:nvSpPr>
        <xdr:spPr>
          <a:xfrm>
            <a:off x="6870608" y="2498962"/>
            <a:ext cx="2766564" cy="241807"/>
          </a:xfrm>
          <a:prstGeom prst="rect">
            <a:avLst/>
          </a:prstGeom>
          <a:noFill/>
          <a:ln>
            <a:noFill/>
          </a:ln>
        </xdr:spPr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s-SV" sz="1100" b="0">
                <a:solidFill>
                  <a:srgbClr val="F37021"/>
                </a:solidFill>
                <a:latin typeface="Franklin Gothic Demi" panose="020B0703020102020204" pitchFamily="34" charset="0"/>
                <a:ea typeface="+mn-ea"/>
                <a:cs typeface="Arial"/>
              </a:rPr>
              <a:t>OCUPACIÓN</a:t>
            </a:r>
            <a:r>
              <a:rPr lang="es-SV" sz="1100" b="0" baseline="0">
                <a:solidFill>
                  <a:srgbClr val="F37021"/>
                </a:solidFill>
                <a:latin typeface="Franklin Gothic Demi" panose="020B0703020102020204" pitchFamily="34" charset="0"/>
                <a:ea typeface="+mn-ea"/>
                <a:cs typeface="Arial"/>
              </a:rPr>
              <a:t> </a:t>
            </a:r>
            <a:r>
              <a:rPr lang="es-SV" sz="1100" b="0">
                <a:solidFill>
                  <a:srgbClr val="F37021"/>
                </a:solidFill>
                <a:latin typeface="Franklin Gothic Demi" panose="020B0703020102020204" pitchFamily="34" charset="0"/>
                <a:ea typeface="+mn-ea"/>
                <a:cs typeface="Arial"/>
              </a:rPr>
              <a:t>FÍSICA</a:t>
            </a:r>
          </a:p>
        </xdr:txBody>
      </xdr:sp>
      <xdr:sp macro="" textlink="$AN$3">
        <xdr:nvSpPr>
          <xdr:cNvPr id="54" name="KPI 1 fondo">
            <a:extLst>
              <a:ext uri="{FF2B5EF4-FFF2-40B4-BE49-F238E27FC236}">
                <a16:creationId xmlns:a16="http://schemas.microsoft.com/office/drawing/2014/main" id="{F792933E-1C30-4B7B-AFBA-BA3C6BB31C5D}"/>
              </a:ext>
            </a:extLst>
          </xdr:cNvPr>
          <xdr:cNvSpPr/>
        </xdr:nvSpPr>
        <xdr:spPr>
          <a:xfrm>
            <a:off x="6861927" y="2609123"/>
            <a:ext cx="2755376" cy="643760"/>
          </a:xfrm>
          <a:prstGeom prst="roundRect">
            <a:avLst>
              <a:gd name="adj" fmla="val 9000"/>
            </a:avLst>
          </a:prstGeom>
          <a:noFill/>
          <a:ln>
            <a:noFill/>
          </a:ln>
        </xdr:spPr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fld id="{14C940F1-10A7-40AF-8EB1-E97DEE1A16C6}" type="TxLink">
              <a:rPr lang="en-US" sz="2200" b="1">
                <a:solidFill>
                  <a:srgbClr val="FFFFFF"/>
                </a:solidFill>
                <a:latin typeface="Arial Narrow"/>
                <a:ea typeface="+mn-ea"/>
                <a:cs typeface="Arial Narrow"/>
              </a:rPr>
              <a:pPr marL="0" indent="0" algn="ctr"/>
              <a:t>1603</a:t>
            </a:fld>
            <a:endParaRPr lang="es-SV" sz="2200" b="1">
              <a:solidFill>
                <a:srgbClr val="FFFFFF"/>
              </a:solidFill>
              <a:latin typeface="Arial Narrow"/>
              <a:ea typeface="+mn-ea"/>
              <a:cs typeface="Arial Narrow"/>
            </a:endParaRPr>
          </a:p>
        </xdr:txBody>
      </xdr:sp>
      <xdr:sp macro="" textlink="">
        <xdr:nvSpPr>
          <xdr:cNvPr id="55" name="KPI 1 detalle">
            <a:extLst>
              <a:ext uri="{FF2B5EF4-FFF2-40B4-BE49-F238E27FC236}">
                <a16:creationId xmlns:a16="http://schemas.microsoft.com/office/drawing/2014/main" id="{F9021422-951C-4971-96A2-78FEC003EAC6}"/>
              </a:ext>
            </a:extLst>
          </xdr:cNvPr>
          <xdr:cNvSpPr txBox="1"/>
        </xdr:nvSpPr>
        <xdr:spPr>
          <a:xfrm>
            <a:off x="6873134" y="3096005"/>
            <a:ext cx="2728558" cy="140070"/>
          </a:xfrm>
          <a:prstGeom prst="rect">
            <a:avLst/>
          </a:prstGeom>
          <a:noFill/>
          <a:ln>
            <a:noFill/>
          </a:ln>
        </xdr:spPr>
        <xdr:txBody>
          <a:bodyPr vertOverflow="clip" horzOverflow="clip" wrap="none" lIns="0" tIns="0" rIns="0" bIns="0" rtlCol="0" anchor="t">
            <a:noAutofit/>
          </a:bodyPr>
          <a:lstStyle/>
          <a:p>
            <a:pPr marL="0" indent="0" algn="ctr"/>
            <a:r>
              <a:rPr lang="es-SV" sz="900" b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Posiciones en Rack</a:t>
            </a:r>
          </a:p>
        </xdr:txBody>
      </xdr:sp>
      <xdr:sp macro="" textlink="$AP$3">
        <xdr:nvSpPr>
          <xdr:cNvPr id="56" name="KPI 1 fondo">
            <a:extLst>
              <a:ext uri="{FF2B5EF4-FFF2-40B4-BE49-F238E27FC236}">
                <a16:creationId xmlns:a16="http://schemas.microsoft.com/office/drawing/2014/main" id="{9219DA83-F047-4678-A6BC-5E9A39D9478C}"/>
              </a:ext>
            </a:extLst>
          </xdr:cNvPr>
          <xdr:cNvSpPr/>
        </xdr:nvSpPr>
        <xdr:spPr>
          <a:xfrm>
            <a:off x="6839516" y="3327394"/>
            <a:ext cx="2788994" cy="643761"/>
          </a:xfrm>
          <a:prstGeom prst="roundRect">
            <a:avLst>
              <a:gd name="adj" fmla="val 9000"/>
            </a:avLst>
          </a:prstGeom>
          <a:noFill/>
          <a:ln>
            <a:noFill/>
          </a:ln>
        </xdr:spPr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fld id="{DD51A849-31E4-40EB-B670-2E16D4CA6BBA}" type="TxLink">
              <a:rPr lang="en-US" sz="3600" b="1">
                <a:solidFill>
                  <a:srgbClr val="FFFFFF"/>
                </a:solidFill>
                <a:latin typeface="Arial Narrow"/>
                <a:ea typeface="+mn-ea"/>
                <a:cs typeface="Arial Narrow"/>
              </a:rPr>
              <a:pPr marL="0" indent="0" algn="ctr"/>
              <a:t>1756</a:t>
            </a:fld>
            <a:endParaRPr lang="es-SV" sz="3600" b="1">
              <a:solidFill>
                <a:srgbClr val="FFFFFF"/>
              </a:solidFill>
              <a:latin typeface="Arial Narrow"/>
              <a:ea typeface="+mn-ea"/>
              <a:cs typeface="Arial Narrow"/>
            </a:endParaRPr>
          </a:p>
        </xdr:txBody>
      </xdr:sp>
      <xdr:sp macro="" textlink="">
        <xdr:nvSpPr>
          <xdr:cNvPr id="58" name="KPI 1 detalle">
            <a:extLst>
              <a:ext uri="{FF2B5EF4-FFF2-40B4-BE49-F238E27FC236}">
                <a16:creationId xmlns:a16="http://schemas.microsoft.com/office/drawing/2014/main" id="{4DD0A73E-496E-4098-87D3-64619D72EA63}"/>
              </a:ext>
            </a:extLst>
          </xdr:cNvPr>
          <xdr:cNvSpPr txBox="1"/>
        </xdr:nvSpPr>
        <xdr:spPr>
          <a:xfrm>
            <a:off x="6850722" y="3891780"/>
            <a:ext cx="2753958" cy="165096"/>
          </a:xfrm>
          <a:prstGeom prst="rect">
            <a:avLst/>
          </a:prstGeom>
          <a:noFill/>
          <a:ln>
            <a:noFill/>
          </a:ln>
        </xdr:spPr>
        <xdr:txBody>
          <a:bodyPr vertOverflow="clip" horzOverflow="clip" wrap="none" lIns="0" tIns="0" rIns="0" bIns="0" rtlCol="0" anchor="t">
            <a:noAutofit/>
          </a:bodyPr>
          <a:lstStyle/>
          <a:p>
            <a:pPr marL="0" indent="0" algn="ctr"/>
            <a:r>
              <a:rPr lang="es-SV" sz="1100" b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Ocupación</a:t>
            </a:r>
            <a:r>
              <a:rPr lang="es-SV" sz="1100" b="0" baseline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 </a:t>
            </a:r>
            <a:r>
              <a:rPr lang="es-SV" sz="1100" b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Total</a:t>
            </a:r>
          </a:p>
        </xdr:txBody>
      </xdr:sp>
      <xdr:sp macro="" textlink="$AO$3">
        <xdr:nvSpPr>
          <xdr:cNvPr id="59" name="KPI 1 fondo">
            <a:extLst>
              <a:ext uri="{FF2B5EF4-FFF2-40B4-BE49-F238E27FC236}">
                <a16:creationId xmlns:a16="http://schemas.microsoft.com/office/drawing/2014/main" id="{E1BCDC6E-57C0-43B4-9A0C-FF4C05AD386D}"/>
              </a:ext>
            </a:extLst>
          </xdr:cNvPr>
          <xdr:cNvSpPr/>
        </xdr:nvSpPr>
        <xdr:spPr>
          <a:xfrm>
            <a:off x="6850721" y="4066025"/>
            <a:ext cx="2766582" cy="643761"/>
          </a:xfrm>
          <a:prstGeom prst="roundRect">
            <a:avLst>
              <a:gd name="adj" fmla="val 9000"/>
            </a:avLst>
          </a:prstGeom>
          <a:noFill/>
          <a:ln>
            <a:noFill/>
          </a:ln>
        </xdr:spPr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fld id="{FDEF26F1-C2F8-4F0C-97F3-B3946A8F1E20}" type="TxLink">
              <a:rPr lang="en-US" sz="2200" b="1">
                <a:solidFill>
                  <a:srgbClr val="FFFFFF"/>
                </a:solidFill>
                <a:latin typeface="Arial Narrow"/>
                <a:ea typeface="+mn-ea"/>
                <a:cs typeface="Arial Narrow"/>
              </a:rPr>
              <a:pPr marL="0" indent="0" algn="ctr"/>
              <a:t>153</a:t>
            </a:fld>
            <a:endParaRPr lang="es-SV" sz="2200" b="1">
              <a:solidFill>
                <a:srgbClr val="FFFFFF"/>
              </a:solidFill>
              <a:latin typeface="Arial Narrow"/>
              <a:ea typeface="+mn-ea"/>
              <a:cs typeface="Arial Narrow"/>
            </a:endParaRPr>
          </a:p>
        </xdr:txBody>
      </xdr:sp>
      <xdr:sp macro="" textlink="">
        <xdr:nvSpPr>
          <xdr:cNvPr id="62" name="KPI 1 detalle">
            <a:extLst>
              <a:ext uri="{FF2B5EF4-FFF2-40B4-BE49-F238E27FC236}">
                <a16:creationId xmlns:a16="http://schemas.microsoft.com/office/drawing/2014/main" id="{83941B33-24B0-4AA8-8210-8FBB45983713}"/>
              </a:ext>
            </a:extLst>
          </xdr:cNvPr>
          <xdr:cNvSpPr txBox="1"/>
        </xdr:nvSpPr>
        <xdr:spPr>
          <a:xfrm>
            <a:off x="6861929" y="4582232"/>
            <a:ext cx="2777787" cy="220933"/>
          </a:xfrm>
          <a:prstGeom prst="rect">
            <a:avLst/>
          </a:prstGeom>
          <a:noFill/>
          <a:ln>
            <a:noFill/>
          </a:ln>
        </xdr:spPr>
        <xdr:txBody>
          <a:bodyPr vertOverflow="clip" horzOverflow="clip" wrap="none" lIns="0" tIns="0" rIns="0" bIns="0" rtlCol="0" anchor="t">
            <a:noAutofit/>
          </a:bodyPr>
          <a:lstStyle/>
          <a:p>
            <a:pPr marL="0" indent="0" algn="ctr"/>
            <a:r>
              <a:rPr lang="es-SV" sz="900" b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Pallets</a:t>
            </a:r>
            <a:r>
              <a:rPr lang="es-SV" sz="900" b="0" baseline="0">
                <a:solidFill>
                  <a:srgbClr val="9E9E9E"/>
                </a:solidFill>
                <a:latin typeface="Arial"/>
                <a:ea typeface="+mn-ea"/>
                <a:cs typeface="Arial"/>
              </a:rPr>
              <a:t> en piso</a:t>
            </a:r>
            <a:endParaRPr lang="es-SV" sz="900" b="0">
              <a:solidFill>
                <a:srgbClr val="9E9E9E"/>
              </a:solidFill>
              <a:latin typeface="Arial"/>
              <a:ea typeface="+mn-ea"/>
              <a:cs typeface="Arial"/>
            </a:endParaRPr>
          </a:p>
        </xdr:txBody>
      </xdr:sp>
    </xdr:grpSp>
    <xdr:clientData fLocksWithSheet="0"/>
  </xdr:twoCellAnchor>
  <xdr:twoCellAnchor editAs="absolute">
    <xdr:from>
      <xdr:col>5</xdr:col>
      <xdr:colOff>126392</xdr:colOff>
      <xdr:row>11</xdr:row>
      <xdr:rowOff>37162</xdr:rowOff>
    </xdr:from>
    <xdr:to>
      <xdr:col>10</xdr:col>
      <xdr:colOff>195039</xdr:colOff>
      <xdr:row>25</xdr:row>
      <xdr:rowOff>66488</xdr:rowOff>
    </xdr:to>
    <xdr:sp macro="" textlink="">
      <xdr:nvSpPr>
        <xdr:cNvPr id="63" name="KPI 1 fondo">
          <a:extLst>
            <a:ext uri="{FF2B5EF4-FFF2-40B4-BE49-F238E27FC236}">
              <a16:creationId xmlns:a16="http://schemas.microsoft.com/office/drawing/2014/main" id="{7E1ED14A-3747-4A03-9572-2D26009FE9BF}"/>
            </a:ext>
          </a:extLst>
        </xdr:cNvPr>
        <xdr:cNvSpPr/>
      </xdr:nvSpPr>
      <xdr:spPr>
        <a:xfrm>
          <a:off x="3366856" y="2403683"/>
          <a:ext cx="3309111" cy="2641336"/>
        </a:xfrm>
        <a:prstGeom prst="roundRect">
          <a:avLst>
            <a:gd name="adj" fmla="val 9000"/>
          </a:avLst>
        </a:prstGeom>
        <a:solidFill>
          <a:srgbClr val="262626"/>
        </a:solidFill>
        <a:ln w="3175"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endParaRPr lang="es-SV"/>
        </a:p>
      </xdr:txBody>
    </xdr:sp>
    <xdr:clientData fLocksWithSheet="0"/>
  </xdr:twoCellAnchor>
  <xdr:twoCellAnchor editAs="absolute">
    <xdr:from>
      <xdr:col>5</xdr:col>
      <xdr:colOff>606107</xdr:colOff>
      <xdr:row>11</xdr:row>
      <xdr:rowOff>159418</xdr:rowOff>
    </xdr:from>
    <xdr:to>
      <xdr:col>9</xdr:col>
      <xdr:colOff>489121</xdr:colOff>
      <xdr:row>13</xdr:row>
      <xdr:rowOff>18637</xdr:rowOff>
    </xdr:to>
    <xdr:sp macro="" textlink="">
      <xdr:nvSpPr>
        <xdr:cNvPr id="65" name="KPI 1 titulo">
          <a:extLst>
            <a:ext uri="{FF2B5EF4-FFF2-40B4-BE49-F238E27FC236}">
              <a16:creationId xmlns:a16="http://schemas.microsoft.com/office/drawing/2014/main" id="{9BBAD1E2-3F84-4196-AA12-1BDC76624CC8}"/>
            </a:ext>
          </a:extLst>
        </xdr:cNvPr>
        <xdr:cNvSpPr txBox="1"/>
      </xdr:nvSpPr>
      <xdr:spPr>
        <a:xfrm>
          <a:off x="3824012" y="2544959"/>
          <a:ext cx="2457339" cy="236786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 rtlCol="0" anchor="t">
          <a:noAutofit/>
        </a:bodyPr>
        <a:lstStyle/>
        <a:p>
          <a:pPr marL="0" indent="0" algn="l"/>
          <a:r>
            <a:rPr lang="es-SV" sz="1100" b="0">
              <a:solidFill>
                <a:srgbClr val="F37021"/>
              </a:solidFill>
              <a:latin typeface="Franklin Gothic Demi" panose="020B0703020102020204" pitchFamily="34" charset="0"/>
              <a:ea typeface="+mn-ea"/>
              <a:cs typeface="Arial"/>
            </a:rPr>
            <a:t>UNIDADES SIN MOVIMIENTO (DÍAS)</a:t>
          </a:r>
        </a:p>
      </xdr:txBody>
    </xdr:sp>
    <xdr:clientData fLocksWithSheet="0"/>
  </xdr:twoCellAnchor>
  <xdr:twoCellAnchor>
    <xdr:from>
      <xdr:col>5</xdr:col>
      <xdr:colOff>154460</xdr:colOff>
      <xdr:row>13</xdr:row>
      <xdr:rowOff>77229</xdr:rowOff>
    </xdr:from>
    <xdr:to>
      <xdr:col>10</xdr:col>
      <xdr:colOff>203276</xdr:colOff>
      <xdr:row>24</xdr:row>
      <xdr:rowOff>110180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EB224CD2-3809-40DE-BECD-FAC0A4BE8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357988</xdr:colOff>
      <xdr:row>11</xdr:row>
      <xdr:rowOff>37162</xdr:rowOff>
    </xdr:from>
    <xdr:to>
      <xdr:col>4</xdr:col>
      <xdr:colOff>610936</xdr:colOff>
      <xdr:row>25</xdr:row>
      <xdr:rowOff>66488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2CF4AA83-5E6D-AD0A-2279-983A0697A502}"/>
            </a:ext>
          </a:extLst>
        </xdr:cNvPr>
        <xdr:cNvGrpSpPr/>
      </xdr:nvGrpSpPr>
      <xdr:grpSpPr>
        <a:xfrm>
          <a:off x="357988" y="2381777"/>
          <a:ext cx="2899014" cy="2608403"/>
          <a:chOff x="436429" y="3188918"/>
          <a:chExt cx="2852713" cy="2696326"/>
        </a:xfrm>
      </xdr:grpSpPr>
      <xdr:grpSp>
        <xdr:nvGrpSpPr>
          <xdr:cNvPr id="68" name="Grupo 67">
            <a:extLst>
              <a:ext uri="{FF2B5EF4-FFF2-40B4-BE49-F238E27FC236}">
                <a16:creationId xmlns:a16="http://schemas.microsoft.com/office/drawing/2014/main" id="{5B5752C3-78E2-C6C6-9755-F93B733E9C8E}"/>
              </a:ext>
            </a:extLst>
          </xdr:cNvPr>
          <xdr:cNvGrpSpPr/>
        </xdr:nvGrpSpPr>
        <xdr:grpSpPr>
          <a:xfrm>
            <a:off x="436429" y="3188918"/>
            <a:ext cx="2852713" cy="2696326"/>
            <a:chOff x="425223" y="2410109"/>
            <a:chExt cx="2834703" cy="2648701"/>
          </a:xfrm>
        </xdr:grpSpPr>
        <xdr:grpSp>
          <xdr:nvGrpSpPr>
            <xdr:cNvPr id="67" name="Grupo 66">
              <a:extLst>
                <a:ext uri="{FF2B5EF4-FFF2-40B4-BE49-F238E27FC236}">
                  <a16:creationId xmlns:a16="http://schemas.microsoft.com/office/drawing/2014/main" id="{04C8A9A3-E433-F794-170F-A451BDB7DBAD}"/>
                </a:ext>
              </a:extLst>
            </xdr:cNvPr>
            <xdr:cNvGrpSpPr/>
          </xdr:nvGrpSpPr>
          <xdr:grpSpPr>
            <a:xfrm>
              <a:off x="459785" y="2410109"/>
              <a:ext cx="2800141" cy="2648701"/>
              <a:chOff x="434272" y="2413412"/>
              <a:chExt cx="2795924" cy="2674285"/>
            </a:xfrm>
          </xdr:grpSpPr>
          <xdr:sp macro="" textlink="">
            <xdr:nvSpPr>
              <xdr:cNvPr id="36" name="KPI 1 fondo">
                <a:extLst>
                  <a:ext uri="{FF2B5EF4-FFF2-40B4-BE49-F238E27FC236}">
                    <a16:creationId xmlns:a16="http://schemas.microsoft.com/office/drawing/2014/main" id="{31E7E97E-8A05-4DA8-998F-6922F49F7DAC}"/>
                  </a:ext>
                </a:extLst>
              </xdr:cNvPr>
              <xdr:cNvSpPr/>
            </xdr:nvSpPr>
            <xdr:spPr>
              <a:xfrm>
                <a:off x="434272" y="2413412"/>
                <a:ext cx="2795924" cy="2674285"/>
              </a:xfrm>
              <a:prstGeom prst="roundRect">
                <a:avLst>
                  <a:gd name="adj" fmla="val 9000"/>
                </a:avLst>
              </a:prstGeom>
              <a:solidFill>
                <a:srgbClr val="262626"/>
              </a:solidFill>
              <a:ln w="3175">
                <a:noFill/>
              </a:ln>
            </xdr:spPr>
            <xdr:txBody>
              <a:bodyPr vertOverflow="clip" horzOverflow="clip" wrap="square" lIns="0" tIns="0" rIns="0" bIns="0" rtlCol="0" anchor="t">
                <a:noAutofit/>
              </a:bodyPr>
              <a:lstStyle/>
              <a:p>
                <a:endParaRPr lang="es-SV"/>
              </a:p>
            </xdr:txBody>
          </xdr:sp>
          <xdr:sp macro="" textlink="$AB$3">
            <xdr:nvSpPr>
              <xdr:cNvPr id="38" name="KPI 1 fondo">
                <a:extLst>
                  <a:ext uri="{FF2B5EF4-FFF2-40B4-BE49-F238E27FC236}">
                    <a16:creationId xmlns:a16="http://schemas.microsoft.com/office/drawing/2014/main" id="{60BEE380-B354-4DC2-BE3E-6AB848FA0552}"/>
                  </a:ext>
                </a:extLst>
              </xdr:cNvPr>
              <xdr:cNvSpPr/>
            </xdr:nvSpPr>
            <xdr:spPr>
              <a:xfrm>
                <a:off x="448699" y="2675365"/>
                <a:ext cx="2770908" cy="650821"/>
              </a:xfrm>
              <a:prstGeom prst="roundRect">
                <a:avLst>
                  <a:gd name="adj" fmla="val 9000"/>
                </a:avLst>
              </a:prstGeom>
              <a:noFill/>
              <a:ln>
                <a:noFill/>
              </a:ln>
            </xdr:spPr>
            <xdr:txBody>
              <a:bodyPr vertOverflow="clip" horzOverflow="clip" wrap="none" lIns="0" tIns="0" rIns="0" bIns="0" rtlCol="0" anchor="ctr">
                <a:noAutofit/>
              </a:bodyPr>
              <a:lstStyle/>
              <a:p>
                <a:pPr marL="0" indent="0" algn="ctr"/>
                <a:fld id="{95AF3B4A-F42C-47FF-ADC4-7E39209097BF}" type="TxLink">
                  <a:rPr lang="en-US" sz="2200" b="1">
                    <a:solidFill>
                      <a:srgbClr val="FFFFFF"/>
                    </a:solidFill>
                    <a:latin typeface="Arial Narrow"/>
                    <a:ea typeface="+mn-ea"/>
                    <a:cs typeface="Arial Narrow"/>
                  </a:rPr>
                  <a:pPr marL="0" indent="0" algn="ctr"/>
                  <a:t> 193 </a:t>
                </a:fld>
                <a:endParaRPr lang="es-SV" sz="2200" b="1">
                  <a:solidFill>
                    <a:srgbClr val="FFFFFF"/>
                  </a:solidFill>
                  <a:latin typeface="Arial Narrow"/>
                  <a:ea typeface="+mn-ea"/>
                  <a:cs typeface="Arial Narrow"/>
                </a:endParaRPr>
              </a:p>
            </xdr:txBody>
          </xdr:sp>
          <xdr:sp macro="" textlink="">
            <xdr:nvSpPr>
              <xdr:cNvPr id="39" name="KPI 1 detalle">
                <a:extLst>
                  <a:ext uri="{FF2B5EF4-FFF2-40B4-BE49-F238E27FC236}">
                    <a16:creationId xmlns:a16="http://schemas.microsoft.com/office/drawing/2014/main" id="{0BF7E167-BFD1-4B0E-A1A9-5158916B5C29}"/>
                  </a:ext>
                </a:extLst>
              </xdr:cNvPr>
              <xdr:cNvSpPr txBox="1"/>
            </xdr:nvSpPr>
            <xdr:spPr>
              <a:xfrm>
                <a:off x="440825" y="3219607"/>
                <a:ext cx="2778781" cy="16268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 marL="0" indent="0" algn="ctr"/>
                <a:r>
                  <a:rPr lang="es-SV" sz="900" b="0">
                    <a:solidFill>
                      <a:srgbClr val="9E9E9E"/>
                    </a:solidFill>
                    <a:latin typeface="Arial"/>
                    <a:ea typeface="+mn-ea"/>
                    <a:cs typeface="Arial"/>
                  </a:rPr>
                  <a:t>Unidades en Inventario</a:t>
                </a:r>
              </a:p>
            </xdr:txBody>
          </xdr:sp>
        </xdr:grpSp>
        <xdr:sp macro="" textlink="$AE$3">
          <xdr:nvSpPr>
            <xdr:cNvPr id="44" name="KPI 1 fondo">
              <a:extLst>
                <a:ext uri="{FF2B5EF4-FFF2-40B4-BE49-F238E27FC236}">
                  <a16:creationId xmlns:a16="http://schemas.microsoft.com/office/drawing/2014/main" id="{3EE61169-A229-4130-806D-AE519DFA2FEC}"/>
                </a:ext>
              </a:extLst>
            </xdr:cNvPr>
            <xdr:cNvSpPr/>
          </xdr:nvSpPr>
          <xdr:spPr>
            <a:xfrm>
              <a:off x="425223" y="3422449"/>
              <a:ext cx="2789464" cy="645672"/>
            </a:xfrm>
            <a:prstGeom prst="roundRect">
              <a:avLst>
                <a:gd name="adj" fmla="val 9000"/>
              </a:avLst>
            </a:prstGeom>
            <a:noFill/>
            <a:ln>
              <a:noFill/>
            </a:ln>
          </xdr:spPr>
          <xdr:txBody>
            <a:bodyPr vertOverflow="clip" horzOverflow="clip" wrap="none" lIns="0" tIns="0" rIns="0" bIns="0" rtlCol="0" anchor="ctr">
              <a:noAutofit/>
            </a:bodyPr>
            <a:lstStyle/>
            <a:p>
              <a:pPr marL="0" indent="0" algn="ctr"/>
              <a:fld id="{E359F1BF-E755-4690-82D1-5AE0C60972A1}" type="TxLink">
                <a:rPr lang="en-US" sz="2200" b="1">
                  <a:solidFill>
                    <a:srgbClr val="FFFFFF"/>
                  </a:solidFill>
                  <a:latin typeface="Arial Narrow"/>
                  <a:ea typeface="+mn-ea"/>
                  <a:cs typeface="Arial Narrow"/>
                </a:rPr>
                <a:pPr marL="0" indent="0" algn="ctr"/>
                <a:t>297200.0%</a:t>
              </a:fld>
              <a:endParaRPr lang="es-SV" sz="2200" b="1">
                <a:solidFill>
                  <a:srgbClr val="FFFFFF"/>
                </a:solidFill>
                <a:latin typeface="Arial Narrow"/>
                <a:ea typeface="+mn-ea"/>
                <a:cs typeface="Arial Narrow"/>
              </a:endParaRPr>
            </a:p>
          </xdr:txBody>
        </xdr:sp>
        <xdr:sp macro="" textlink="">
          <xdr:nvSpPr>
            <xdr:cNvPr id="45" name="KPI 1 detalle">
              <a:extLst>
                <a:ext uri="{FF2B5EF4-FFF2-40B4-BE49-F238E27FC236}">
                  <a16:creationId xmlns:a16="http://schemas.microsoft.com/office/drawing/2014/main" id="{71568FFF-08EB-4718-8C09-6FD37FF2D9CA}"/>
                </a:ext>
              </a:extLst>
            </xdr:cNvPr>
            <xdr:cNvSpPr txBox="1"/>
          </xdr:nvSpPr>
          <xdr:spPr>
            <a:xfrm>
              <a:off x="442233" y="3963080"/>
              <a:ext cx="2789464" cy="168319"/>
            </a:xfrm>
            <a:prstGeom prst="rect">
              <a:avLst/>
            </a:prstGeom>
            <a:noFill/>
            <a:ln>
              <a:noFill/>
            </a:ln>
          </xdr:spPr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 algn="ctr"/>
              <a:r>
                <a:rPr lang="es-SV" sz="900" b="0">
                  <a:solidFill>
                    <a:srgbClr val="9E9E9E"/>
                  </a:solidFill>
                  <a:latin typeface="Arial"/>
                  <a:ea typeface="+mn-ea"/>
                  <a:cs typeface="Arial"/>
                </a:rPr>
                <a:t>Rotación del mes</a:t>
              </a:r>
            </a:p>
          </xdr:txBody>
        </xdr:sp>
        <xdr:sp macro="" textlink="$AD$3">
          <xdr:nvSpPr>
            <xdr:cNvPr id="46" name="KPI 1 fondo">
              <a:extLst>
                <a:ext uri="{FF2B5EF4-FFF2-40B4-BE49-F238E27FC236}">
                  <a16:creationId xmlns:a16="http://schemas.microsoft.com/office/drawing/2014/main" id="{AF6A0BC7-FD0F-4CA5-AD26-F6316275E76A}"/>
                </a:ext>
              </a:extLst>
            </xdr:cNvPr>
            <xdr:cNvSpPr/>
          </xdr:nvSpPr>
          <xdr:spPr>
            <a:xfrm>
              <a:off x="433727" y="4129190"/>
              <a:ext cx="2814977" cy="645339"/>
            </a:xfrm>
            <a:prstGeom prst="roundRect">
              <a:avLst>
                <a:gd name="adj" fmla="val 9000"/>
              </a:avLst>
            </a:prstGeom>
            <a:noFill/>
            <a:ln>
              <a:noFill/>
            </a:ln>
          </xdr:spPr>
          <xdr:txBody>
            <a:bodyPr vertOverflow="clip" horzOverflow="clip" wrap="none" lIns="0" tIns="0" rIns="0" bIns="0" rtlCol="0" anchor="ctr">
              <a:noAutofit/>
            </a:bodyPr>
            <a:lstStyle/>
            <a:p>
              <a:pPr marL="0" indent="0" algn="ctr"/>
              <a:fld id="{14468A9C-46DA-47F3-9197-48ED9C600053}" type="TxLink">
                <a:rPr lang="en-US" sz="2200" b="1">
                  <a:solidFill>
                    <a:srgbClr val="FFFFFF"/>
                  </a:solidFill>
                  <a:latin typeface="Arial Narrow"/>
                  <a:ea typeface="+mn-ea"/>
                  <a:cs typeface="Arial Narrow"/>
                </a:rPr>
                <a:pPr marL="0" indent="0" algn="ctr"/>
                <a:t>2517</a:t>
              </a:fld>
              <a:endParaRPr lang="es-SV" sz="2200" b="1">
                <a:solidFill>
                  <a:srgbClr val="FFFFFF"/>
                </a:solidFill>
                <a:latin typeface="Arial Narrow"/>
                <a:ea typeface="+mn-ea"/>
                <a:cs typeface="Arial Narrow"/>
              </a:endParaRPr>
            </a:p>
          </xdr:txBody>
        </xdr:sp>
        <xdr:sp macro="" textlink="">
          <xdr:nvSpPr>
            <xdr:cNvPr id="48" name="KPI 1 detalle">
              <a:extLst>
                <a:ext uri="{FF2B5EF4-FFF2-40B4-BE49-F238E27FC236}">
                  <a16:creationId xmlns:a16="http://schemas.microsoft.com/office/drawing/2014/main" id="{D1543B9B-F336-429B-993E-FE7DCFE5244B}"/>
                </a:ext>
              </a:extLst>
            </xdr:cNvPr>
            <xdr:cNvSpPr txBox="1"/>
          </xdr:nvSpPr>
          <xdr:spPr>
            <a:xfrm>
              <a:off x="433728" y="4660446"/>
              <a:ext cx="2789464" cy="184981"/>
            </a:xfrm>
            <a:prstGeom prst="rect">
              <a:avLst/>
            </a:prstGeom>
            <a:noFill/>
            <a:ln>
              <a:noFill/>
            </a:ln>
          </xdr:spPr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indent="0" algn="ctr"/>
              <a:r>
                <a:rPr lang="es-SV" sz="900" b="0">
                  <a:solidFill>
                    <a:srgbClr val="9E9E9E"/>
                  </a:solidFill>
                  <a:latin typeface="Arial"/>
                  <a:ea typeface="+mn-ea"/>
                  <a:cs typeface="Arial"/>
                </a:rPr>
                <a:t>Días de</a:t>
              </a:r>
              <a:r>
                <a:rPr lang="es-SV" sz="900" b="0" baseline="0">
                  <a:solidFill>
                    <a:srgbClr val="9E9E9E"/>
                  </a:solidFill>
                  <a:latin typeface="Arial"/>
                  <a:ea typeface="+mn-ea"/>
                  <a:cs typeface="Arial"/>
                </a:rPr>
                <a:t> </a:t>
              </a:r>
              <a:r>
                <a:rPr lang="es-SV" sz="900" b="0">
                  <a:solidFill>
                    <a:srgbClr val="9E9E9E"/>
                  </a:solidFill>
                  <a:latin typeface="Arial"/>
                  <a:ea typeface="+mn-ea"/>
                  <a:cs typeface="Arial"/>
                </a:rPr>
                <a:t>Inventario (cobertura)</a:t>
              </a:r>
            </a:p>
          </xdr:txBody>
        </xdr:sp>
      </xdr:grpSp>
      <xdr:sp macro="" textlink="">
        <xdr:nvSpPr>
          <xdr:cNvPr id="69" name="KPI 1 titulo">
            <a:extLst>
              <a:ext uri="{FF2B5EF4-FFF2-40B4-BE49-F238E27FC236}">
                <a16:creationId xmlns:a16="http://schemas.microsoft.com/office/drawing/2014/main" id="{1A99BAC4-B2A9-4229-AC1B-EE83CEE8C671}"/>
              </a:ext>
            </a:extLst>
          </xdr:cNvPr>
          <xdr:cNvSpPr txBox="1"/>
        </xdr:nvSpPr>
        <xdr:spPr>
          <a:xfrm>
            <a:off x="504265" y="3316941"/>
            <a:ext cx="2767853" cy="168088"/>
          </a:xfrm>
          <a:prstGeom prst="rect">
            <a:avLst/>
          </a:prstGeom>
          <a:noFill/>
          <a:ln>
            <a:noFill/>
          </a:ln>
        </xdr:spPr>
        <xdr:txBody>
          <a:bodyPr vertOverflow="clip" horzOverflow="clip" wrap="square" lIns="0" tIns="0" rIns="0" bIns="0" rtlCol="0" anchor="t">
            <a:noAutofit/>
          </a:bodyPr>
          <a:lstStyle/>
          <a:p>
            <a:pPr marL="0" indent="0" algn="ctr"/>
            <a:r>
              <a:rPr lang="es-SV" sz="1100" b="0">
                <a:solidFill>
                  <a:srgbClr val="F37021"/>
                </a:solidFill>
                <a:latin typeface="Franklin Gothic Demi" panose="020B0703020102020204" pitchFamily="34" charset="0"/>
                <a:ea typeface="+mn-ea"/>
                <a:cs typeface="Arial"/>
              </a:rPr>
              <a:t>SALUD DEL INVENTARIO</a:t>
            </a:r>
          </a:p>
        </xdr:txBody>
      </xdr:sp>
    </xdr:grpSp>
    <xdr:clientData fLocksWithSheet="0"/>
  </xdr:twoCellAnchor>
  <xdr:twoCellAnchor>
    <xdr:from>
      <xdr:col>14</xdr:col>
      <xdr:colOff>157005</xdr:colOff>
      <xdr:row>2</xdr:row>
      <xdr:rowOff>167474</xdr:rowOff>
    </xdr:from>
    <xdr:to>
      <xdr:col>14</xdr:col>
      <xdr:colOff>2124807</xdr:colOff>
      <xdr:row>6</xdr:row>
      <xdr:rowOff>104672</xdr:rowOff>
    </xdr:to>
    <xdr:sp macro="[0]!GenerarPDFsMasivos" textlink="">
      <xdr:nvSpPr>
        <xdr:cNvPr id="2" name="Rectángulo 1">
          <a:extLst>
            <a:ext uri="{FF2B5EF4-FFF2-40B4-BE49-F238E27FC236}">
              <a16:creationId xmlns:a16="http://schemas.microsoft.com/office/drawing/2014/main" id="{FDFEC570-5E57-1CAB-1732-33F4F866EC74}"/>
            </a:ext>
          </a:extLst>
        </xdr:cNvPr>
        <xdr:cNvSpPr/>
      </xdr:nvSpPr>
      <xdr:spPr>
        <a:xfrm>
          <a:off x="10289093" y="795496"/>
          <a:ext cx="1967802" cy="711758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>
              <a:solidFill>
                <a:schemeClr val="tx1"/>
              </a:solidFill>
            </a:rPr>
            <a:t>GENERAR REPORTES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9A2AA9-4177-4FD3-AB1F-85AC6A64D866}" name="tbl_Datos_WMS" displayName="tbl_Datos_WMS" ref="A1:AA241" totalsRowShown="0">
  <autoFilter ref="A1:AA241" xr:uid="{079A2AA9-4177-4FD3-AB1F-85AC6A64D866}"/>
  <tableColumns count="27">
    <tableColumn id="1" xr3:uid="{E161A6CC-D971-41A4-8033-DAA8929C50CD}" name="CustomerId"/>
    <tableColumn id="2" xr3:uid="{56CBCF87-6293-44F1-BCA8-53571AC69D2B}" name="Cliente"/>
    <tableColumn id="3" xr3:uid="{1002A1D3-D1AE-4496-AC29-6E19EA10D9A3}" name="Anio"/>
    <tableColumn id="4" xr3:uid="{AB6594B6-6F8B-4AB4-9E93-F5D101CC0EF0}" name="Mes"/>
    <tableColumn id="5" xr3:uid="{4A5F52CD-C8B0-4F4E-8AF8-DE241200EFEF}" name="NombreMes"/>
    <tableColumn id="6" xr3:uid="{61C1362F-A316-421B-8F55-1FE61AD1C600}" name="BultosRecibidos"/>
    <tableColumn id="7" xr3:uid="{B9FBC57C-0C6F-457E-993E-DBF22E764A44}" name="TiempoRecepcionHoras"/>
    <tableColumn id="8" xr3:uid="{A13763BA-9B24-4ED2-AE1D-DAB3E05E1DA0}" name="PedidosDespachados"/>
    <tableColumn id="9" xr3:uid="{E1D0DCA7-605F-4D36-8C37-5838AFBD0058}" name="PorcentajeDespachoATiempo"/>
    <tableColumn id="10" xr3:uid="{EB8BDAD2-76F5-4CA0-A2E2-1EAC3671E2AE}" name="TiempoCicloPedidoHoras"/>
    <tableColumn id="11" xr3:uid="{192BDFED-DDA2-42CB-B366-24F4AB0C80E9}" name="PorcentajePedidoPerfecto"/>
    <tableColumn id="12" xr3:uid="{AAF8B66A-D92D-40E9-83E1-639A2AE06872}" name="PorcentajePedidoConAdjunto"/>
    <tableColumn id="13" xr3:uid="{763D71F3-B62B-40DB-A06B-2907BE3E54B0}" name="StockCierre"/>
    <tableColumn id="14" xr3:uid="{45AD7842-4190-4D50-9833-A2EA63CA6878}" name="SalidasMes"/>
    <tableColumn id="15" xr3:uid="{9DA87A73-1DEF-488F-91A9-72D34061A3F5}" name="DiasInventario"/>
    <tableColumn id="16" xr3:uid="{4BEFB852-A51D-46AB-B450-0ACED5F6FFD6}" name="PorcentajeRotacion"/>
    <tableColumn id="17" xr3:uid="{0C7AC8E0-197C-4765-BA5E-85E1B27C168B}" name="SkusSinMovimiento30a60Dias"/>
    <tableColumn id="18" xr3:uid="{ACF5FA42-07B6-492E-9FE9-10B4179C0E36}" name="SkusSinMovimiento61a90Dias"/>
    <tableColumn id="19" xr3:uid="{A1D8B547-3E3C-4BE6-9865-CD178284AC93}" name="SkusSinMovimiento91a120Dias"/>
    <tableColumn id="20" xr3:uid="{49E229B6-4F4A-4D15-B69D-650DFE628A24}" name="SkusSinMovimientoMas120Dias"/>
    <tableColumn id="21" xr3:uid="{58AC8047-2821-4D85-8792-3E01EFD97B38}" name="UnidadesSinMovimiento30a60Dias"/>
    <tableColumn id="22" xr3:uid="{CDC1F7FE-18E5-4F2C-AFF1-B1ECE90F8EB8}" name="UnidadesSinMovimiento61a90Dias"/>
    <tableColumn id="23" xr3:uid="{3D722B84-34E0-484A-8944-75D5EA7CB244}" name="UnidadesSinMovimiento91a120Dias"/>
    <tableColumn id="24" xr3:uid="{8DBED548-DDF8-4F38-9B7A-E7E8708DDA11}" name="UnidadesSinMovimientoMas120Dias"/>
    <tableColumn id="25" xr3:uid="{436BA4A8-1FFF-44BC-8A99-352A703AFFFC}" name="PosicionesRack"/>
    <tableColumn id="26" xr3:uid="{AC07C4FE-D111-43ED-8203-44ACDFBC3235}" name="PalletsPiso"/>
    <tableColumn id="27" xr3:uid="{53E1ECFA-921E-4795-A4E2-E9BFA1572631}" name="OcupacionTotal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F1C6-43E6-46E3-9069-65B69F9B52D7}">
  <sheetPr codeName="Hoja1"/>
  <dimension ref="A1:AA241"/>
  <sheetViews>
    <sheetView zoomScale="80" zoomScaleNormal="80" workbookViewId="0">
      <selection activeCell="B12" sqref="B12"/>
    </sheetView>
  </sheetViews>
  <sheetFormatPr baseColWidth="10" defaultRowHeight="14.4" x14ac:dyDescent="0.3"/>
  <cols>
    <col min="1" max="1" width="39.5546875" bestFit="1" customWidth="1"/>
    <col min="2" max="2" width="74.33203125" bestFit="1" customWidth="1"/>
    <col min="3" max="3" width="7.44140625" bestFit="1" customWidth="1"/>
    <col min="4" max="4" width="7.109375" bestFit="1" customWidth="1"/>
    <col min="5" max="5" width="14.44140625" bestFit="1" customWidth="1"/>
    <col min="6" max="6" width="17.44140625" bestFit="1" customWidth="1"/>
    <col min="7" max="7" width="24.44140625" bestFit="1" customWidth="1"/>
    <col min="8" max="8" width="22.109375" bestFit="1" customWidth="1"/>
    <col min="9" max="9" width="29.88671875" bestFit="1" customWidth="1"/>
    <col min="10" max="10" width="25.88671875" bestFit="1" customWidth="1"/>
    <col min="11" max="11" width="27" bestFit="1" customWidth="1"/>
    <col min="12" max="12" width="30.109375" bestFit="1" customWidth="1"/>
    <col min="13" max="13" width="13.44140625" bestFit="1" customWidth="1"/>
    <col min="14" max="14" width="13.33203125" bestFit="1" customWidth="1"/>
    <col min="15" max="15" width="16.109375" bestFit="1" customWidth="1"/>
    <col min="16" max="16" width="20.6640625" bestFit="1" customWidth="1"/>
    <col min="17" max="18" width="30.109375" bestFit="1" customWidth="1"/>
    <col min="19" max="19" width="31.109375" bestFit="1" customWidth="1"/>
    <col min="20" max="20" width="31.88671875" bestFit="1" customWidth="1"/>
    <col min="21" max="22" width="34.6640625" bestFit="1" customWidth="1"/>
    <col min="23" max="23" width="35.6640625" bestFit="1" customWidth="1"/>
    <col min="24" max="24" width="36.44140625" bestFit="1" customWidth="1"/>
    <col min="25" max="25" width="16.6640625" bestFit="1" customWidth="1"/>
    <col min="26" max="26" width="13" bestFit="1" customWidth="1"/>
    <col min="27" max="27" width="17" bestFit="1" customWidth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3">
      <c r="A2">
        <v>1</v>
      </c>
      <c r="B2" t="s">
        <v>37</v>
      </c>
      <c r="C2">
        <v>2026</v>
      </c>
      <c r="D2">
        <v>1</v>
      </c>
      <c r="E2" t="s">
        <v>27</v>
      </c>
      <c r="F2">
        <v>1047927</v>
      </c>
      <c r="G2">
        <v>0.89580000000000004</v>
      </c>
      <c r="H2">
        <v>57</v>
      </c>
      <c r="I2">
        <v>0.86939999999999995</v>
      </c>
      <c r="J2">
        <v>1923023</v>
      </c>
      <c r="K2">
        <v>0.90629999999999999</v>
      </c>
      <c r="L2">
        <v>0.86380000000000001</v>
      </c>
      <c r="M2">
        <v>111</v>
      </c>
      <c r="N2">
        <v>6122</v>
      </c>
      <c r="O2">
        <v>5763</v>
      </c>
      <c r="P2">
        <v>15366</v>
      </c>
      <c r="Q2">
        <v>17986</v>
      </c>
      <c r="R2">
        <v>1083</v>
      </c>
      <c r="S2">
        <v>34</v>
      </c>
      <c r="T2">
        <v>829</v>
      </c>
      <c r="U2">
        <v>38988</v>
      </c>
      <c r="V2">
        <v>938</v>
      </c>
      <c r="W2">
        <v>756</v>
      </c>
      <c r="X2">
        <v>120</v>
      </c>
      <c r="Y2">
        <v>1990</v>
      </c>
      <c r="Z2">
        <v>42</v>
      </c>
      <c r="AA2">
        <v>2032</v>
      </c>
    </row>
    <row r="3" spans="1:27" x14ac:dyDescent="0.3">
      <c r="A3">
        <v>1</v>
      </c>
      <c r="B3" t="s">
        <v>37</v>
      </c>
      <c r="C3">
        <v>2026</v>
      </c>
      <c r="D3">
        <v>2</v>
      </c>
      <c r="E3" t="s">
        <v>28</v>
      </c>
      <c r="F3">
        <v>1410180</v>
      </c>
      <c r="G3">
        <v>0.95540000000000003</v>
      </c>
      <c r="H3">
        <v>49.5</v>
      </c>
      <c r="I3">
        <v>0.89159999999999995</v>
      </c>
      <c r="J3">
        <v>591402</v>
      </c>
      <c r="K3">
        <v>0.80820000000000003</v>
      </c>
      <c r="L3">
        <v>0.82050000000000001</v>
      </c>
      <c r="M3">
        <v>131</v>
      </c>
      <c r="N3">
        <v>7555</v>
      </c>
      <c r="O3">
        <v>4805</v>
      </c>
      <c r="P3">
        <v>1840</v>
      </c>
      <c r="Q3">
        <v>48947</v>
      </c>
      <c r="R3">
        <v>356</v>
      </c>
      <c r="S3">
        <v>35</v>
      </c>
      <c r="T3">
        <v>897</v>
      </c>
      <c r="U3">
        <v>13862</v>
      </c>
      <c r="V3">
        <v>772</v>
      </c>
      <c r="W3">
        <v>386</v>
      </c>
      <c r="X3">
        <v>71</v>
      </c>
      <c r="Y3">
        <v>2208</v>
      </c>
      <c r="Z3">
        <v>179</v>
      </c>
      <c r="AA3">
        <v>2387</v>
      </c>
    </row>
    <row r="4" spans="1:27" x14ac:dyDescent="0.3">
      <c r="A4">
        <v>1</v>
      </c>
      <c r="B4" t="s">
        <v>37</v>
      </c>
      <c r="C4">
        <v>2026</v>
      </c>
      <c r="D4">
        <v>3</v>
      </c>
      <c r="E4" t="s">
        <v>29</v>
      </c>
      <c r="F4">
        <v>479687</v>
      </c>
      <c r="G4">
        <v>0.87429999999999997</v>
      </c>
      <c r="H4">
        <v>27.8</v>
      </c>
      <c r="I4">
        <v>0.96579999999999999</v>
      </c>
      <c r="J4">
        <v>1933813</v>
      </c>
      <c r="K4">
        <v>0.89910000000000001</v>
      </c>
      <c r="L4">
        <v>0.60440000000000005</v>
      </c>
      <c r="M4">
        <v>157</v>
      </c>
      <c r="N4">
        <v>9454</v>
      </c>
      <c r="O4">
        <v>11262</v>
      </c>
      <c r="P4">
        <v>16327</v>
      </c>
      <c r="Q4">
        <v>3620</v>
      </c>
      <c r="R4">
        <v>1372</v>
      </c>
      <c r="S4">
        <v>19</v>
      </c>
      <c r="T4">
        <v>1463</v>
      </c>
      <c r="U4">
        <v>33067</v>
      </c>
      <c r="V4">
        <v>896</v>
      </c>
      <c r="W4">
        <v>908</v>
      </c>
      <c r="X4">
        <v>468</v>
      </c>
      <c r="Y4">
        <v>600</v>
      </c>
      <c r="Z4">
        <v>182</v>
      </c>
      <c r="AA4">
        <v>782</v>
      </c>
    </row>
    <row r="5" spans="1:27" x14ac:dyDescent="0.3">
      <c r="A5">
        <v>1</v>
      </c>
      <c r="B5" t="s">
        <v>37</v>
      </c>
      <c r="C5">
        <v>2026</v>
      </c>
      <c r="D5">
        <v>4</v>
      </c>
      <c r="E5" t="s">
        <v>30</v>
      </c>
      <c r="F5">
        <v>985579</v>
      </c>
      <c r="G5">
        <v>0.98229999999999995</v>
      </c>
      <c r="H5">
        <v>32.700000000000003</v>
      </c>
      <c r="I5">
        <v>0.86060000000000003</v>
      </c>
      <c r="J5">
        <v>788617</v>
      </c>
      <c r="K5">
        <v>0.8548</v>
      </c>
      <c r="L5">
        <v>0.71109999999999995</v>
      </c>
      <c r="M5">
        <v>41</v>
      </c>
      <c r="N5">
        <v>1487</v>
      </c>
      <c r="O5">
        <v>1261</v>
      </c>
      <c r="P5">
        <v>2085</v>
      </c>
      <c r="Q5">
        <v>48118</v>
      </c>
      <c r="R5">
        <v>694</v>
      </c>
      <c r="S5">
        <v>3</v>
      </c>
      <c r="T5">
        <v>668</v>
      </c>
      <c r="U5">
        <v>13369</v>
      </c>
      <c r="V5">
        <v>1902</v>
      </c>
      <c r="W5">
        <v>112</v>
      </c>
      <c r="X5">
        <v>459</v>
      </c>
      <c r="Y5">
        <v>2060</v>
      </c>
      <c r="Z5">
        <v>182</v>
      </c>
      <c r="AA5">
        <v>2242</v>
      </c>
    </row>
    <row r="6" spans="1:27" x14ac:dyDescent="0.3">
      <c r="A6">
        <v>1</v>
      </c>
      <c r="B6" t="s">
        <v>37</v>
      </c>
      <c r="C6">
        <v>2026</v>
      </c>
      <c r="D6">
        <v>5</v>
      </c>
      <c r="E6" t="s">
        <v>31</v>
      </c>
      <c r="F6">
        <v>268955</v>
      </c>
      <c r="G6">
        <v>0.91269999999999996</v>
      </c>
      <c r="H6">
        <v>72.599999999999994</v>
      </c>
      <c r="I6">
        <v>0.85089999999999999</v>
      </c>
      <c r="J6">
        <v>1368756</v>
      </c>
      <c r="K6">
        <v>0.83089999999999997</v>
      </c>
      <c r="L6">
        <v>0.6462</v>
      </c>
      <c r="M6">
        <v>114</v>
      </c>
      <c r="N6">
        <v>3526</v>
      </c>
      <c r="O6">
        <v>4857</v>
      </c>
      <c r="P6">
        <v>13086</v>
      </c>
      <c r="Q6">
        <v>38250</v>
      </c>
      <c r="R6">
        <v>1647</v>
      </c>
      <c r="S6">
        <v>69</v>
      </c>
      <c r="T6">
        <v>1018</v>
      </c>
      <c r="U6">
        <v>36613</v>
      </c>
      <c r="V6">
        <v>2038</v>
      </c>
      <c r="W6">
        <v>431</v>
      </c>
      <c r="X6">
        <v>441</v>
      </c>
      <c r="Y6">
        <v>810</v>
      </c>
      <c r="Z6">
        <v>56</v>
      </c>
      <c r="AA6">
        <v>866</v>
      </c>
    </row>
    <row r="7" spans="1:27" x14ac:dyDescent="0.3">
      <c r="A7">
        <v>1</v>
      </c>
      <c r="B7" t="s">
        <v>37</v>
      </c>
      <c r="C7">
        <v>2026</v>
      </c>
      <c r="D7">
        <v>6</v>
      </c>
      <c r="E7" t="s">
        <v>32</v>
      </c>
      <c r="F7">
        <v>756010</v>
      </c>
      <c r="G7">
        <v>0.95669999999999999</v>
      </c>
      <c r="H7">
        <v>25.1</v>
      </c>
      <c r="I7">
        <v>0.9325</v>
      </c>
      <c r="J7">
        <v>1819109</v>
      </c>
      <c r="K7">
        <v>0.97529999999999994</v>
      </c>
      <c r="L7">
        <v>0.96150000000000002</v>
      </c>
      <c r="M7">
        <v>48</v>
      </c>
      <c r="N7">
        <v>1942</v>
      </c>
      <c r="O7">
        <v>4470</v>
      </c>
      <c r="P7">
        <v>13131</v>
      </c>
      <c r="Q7">
        <v>20627</v>
      </c>
      <c r="R7">
        <v>461</v>
      </c>
      <c r="S7">
        <v>16</v>
      </c>
      <c r="T7">
        <v>496</v>
      </c>
      <c r="U7">
        <v>26326</v>
      </c>
      <c r="V7">
        <v>3898</v>
      </c>
      <c r="W7">
        <v>912</v>
      </c>
      <c r="X7">
        <v>324</v>
      </c>
      <c r="Y7">
        <v>1787</v>
      </c>
      <c r="Z7">
        <v>49</v>
      </c>
      <c r="AA7">
        <v>1836</v>
      </c>
    </row>
    <row r="8" spans="1:27" x14ac:dyDescent="0.3">
      <c r="A8">
        <v>1</v>
      </c>
      <c r="B8" t="s">
        <v>37</v>
      </c>
      <c r="C8">
        <v>2026</v>
      </c>
      <c r="D8">
        <v>7</v>
      </c>
      <c r="E8" t="s">
        <v>33</v>
      </c>
      <c r="F8">
        <v>1142352</v>
      </c>
      <c r="G8">
        <v>0.89100000000000001</v>
      </c>
      <c r="H8">
        <v>52.3</v>
      </c>
      <c r="I8">
        <v>0.96150000000000002</v>
      </c>
      <c r="J8">
        <v>1643224</v>
      </c>
      <c r="K8">
        <v>0.56210000000000004</v>
      </c>
      <c r="L8">
        <v>0.6885</v>
      </c>
      <c r="M8">
        <v>131</v>
      </c>
      <c r="N8">
        <v>8197</v>
      </c>
      <c r="O8">
        <v>1265</v>
      </c>
      <c r="P8">
        <v>19932</v>
      </c>
      <c r="Q8">
        <v>29274</v>
      </c>
      <c r="R8">
        <v>828</v>
      </c>
      <c r="S8">
        <v>37</v>
      </c>
      <c r="T8">
        <v>1283</v>
      </c>
      <c r="U8">
        <v>1437</v>
      </c>
      <c r="V8">
        <v>3681</v>
      </c>
      <c r="W8">
        <v>925</v>
      </c>
      <c r="X8">
        <v>402</v>
      </c>
      <c r="Y8">
        <v>2845</v>
      </c>
      <c r="Z8">
        <v>103</v>
      </c>
      <c r="AA8">
        <v>2948</v>
      </c>
    </row>
    <row r="9" spans="1:27" x14ac:dyDescent="0.3">
      <c r="A9">
        <v>1</v>
      </c>
      <c r="B9" t="s">
        <v>37</v>
      </c>
      <c r="C9">
        <v>2026</v>
      </c>
      <c r="D9">
        <v>8</v>
      </c>
      <c r="E9" t="s">
        <v>34</v>
      </c>
      <c r="F9">
        <v>221750</v>
      </c>
      <c r="G9">
        <v>0.93469999999999998</v>
      </c>
      <c r="H9">
        <v>63.7</v>
      </c>
      <c r="I9">
        <v>0.86450000000000005</v>
      </c>
      <c r="J9">
        <v>557553</v>
      </c>
      <c r="K9">
        <v>0.75939999999999996</v>
      </c>
      <c r="L9">
        <v>0.57469999999999999</v>
      </c>
      <c r="M9">
        <v>123</v>
      </c>
      <c r="N9">
        <v>6668</v>
      </c>
      <c r="O9">
        <v>3689</v>
      </c>
      <c r="P9">
        <v>6208</v>
      </c>
      <c r="Q9">
        <v>31191</v>
      </c>
      <c r="R9">
        <v>764</v>
      </c>
      <c r="S9">
        <v>62</v>
      </c>
      <c r="T9">
        <v>619</v>
      </c>
      <c r="U9">
        <v>9593</v>
      </c>
      <c r="V9">
        <v>807</v>
      </c>
      <c r="W9">
        <v>565</v>
      </c>
      <c r="X9">
        <v>318</v>
      </c>
      <c r="Y9">
        <v>2020</v>
      </c>
      <c r="Z9">
        <v>29</v>
      </c>
      <c r="AA9">
        <v>2049</v>
      </c>
    </row>
    <row r="10" spans="1:27" x14ac:dyDescent="0.3">
      <c r="A10">
        <v>1</v>
      </c>
      <c r="B10" t="s">
        <v>37</v>
      </c>
      <c r="C10">
        <v>2026</v>
      </c>
      <c r="D10">
        <v>9</v>
      </c>
      <c r="E10" t="s">
        <v>35</v>
      </c>
      <c r="F10">
        <v>435253</v>
      </c>
      <c r="G10">
        <v>0.92669999999999997</v>
      </c>
      <c r="H10">
        <v>65.400000000000006</v>
      </c>
      <c r="I10">
        <v>0.91949999999999998</v>
      </c>
      <c r="J10">
        <v>428649</v>
      </c>
      <c r="K10">
        <v>0.65029999999999999</v>
      </c>
      <c r="L10">
        <v>0.76259999999999994</v>
      </c>
      <c r="M10">
        <v>13</v>
      </c>
      <c r="N10">
        <v>4483</v>
      </c>
      <c r="O10">
        <v>2639</v>
      </c>
      <c r="P10">
        <v>9816</v>
      </c>
      <c r="Q10">
        <v>23610</v>
      </c>
      <c r="R10">
        <v>1318</v>
      </c>
      <c r="S10">
        <v>30</v>
      </c>
      <c r="T10">
        <v>1084</v>
      </c>
      <c r="U10">
        <v>40041</v>
      </c>
      <c r="V10">
        <v>1910</v>
      </c>
      <c r="W10">
        <v>470</v>
      </c>
      <c r="X10">
        <v>122</v>
      </c>
      <c r="Y10">
        <v>2411</v>
      </c>
      <c r="Z10">
        <v>185</v>
      </c>
      <c r="AA10">
        <v>2596</v>
      </c>
    </row>
    <row r="11" spans="1:27" x14ac:dyDescent="0.3">
      <c r="A11">
        <v>1</v>
      </c>
      <c r="B11" t="s">
        <v>37</v>
      </c>
      <c r="C11">
        <v>2026</v>
      </c>
      <c r="D11">
        <v>10</v>
      </c>
      <c r="E11" t="s">
        <v>40</v>
      </c>
      <c r="F11">
        <v>987977</v>
      </c>
      <c r="G11">
        <v>0.89329999999999998</v>
      </c>
      <c r="H11">
        <v>6.8</v>
      </c>
      <c r="I11">
        <v>0.86160000000000003</v>
      </c>
      <c r="J11">
        <v>1664517</v>
      </c>
      <c r="K11">
        <v>0.27379999999999999</v>
      </c>
      <c r="L11">
        <v>0.78559999999999997</v>
      </c>
      <c r="M11">
        <v>51</v>
      </c>
      <c r="N11">
        <v>5177</v>
      </c>
      <c r="O11">
        <v>9910</v>
      </c>
      <c r="P11">
        <v>12896</v>
      </c>
      <c r="Q11">
        <v>27236</v>
      </c>
      <c r="R11">
        <v>553</v>
      </c>
      <c r="S11">
        <v>90</v>
      </c>
      <c r="T11">
        <v>1428</v>
      </c>
      <c r="U11">
        <v>49068</v>
      </c>
      <c r="V11">
        <v>2447</v>
      </c>
      <c r="W11">
        <v>182</v>
      </c>
      <c r="X11">
        <v>314</v>
      </c>
      <c r="Y11">
        <v>1120</v>
      </c>
      <c r="Z11">
        <v>154</v>
      </c>
      <c r="AA11">
        <v>1274</v>
      </c>
    </row>
    <row r="12" spans="1:27" x14ac:dyDescent="0.3">
      <c r="A12">
        <v>1</v>
      </c>
      <c r="B12" t="s">
        <v>37</v>
      </c>
      <c r="C12">
        <v>2026</v>
      </c>
      <c r="D12">
        <v>11</v>
      </c>
      <c r="E12" t="s">
        <v>41</v>
      </c>
      <c r="F12">
        <v>1419203</v>
      </c>
      <c r="G12">
        <v>0.86829999999999996</v>
      </c>
      <c r="H12">
        <v>6.7</v>
      </c>
      <c r="I12">
        <v>0.91820000000000002</v>
      </c>
      <c r="J12">
        <v>625819</v>
      </c>
      <c r="K12">
        <v>0.75060000000000004</v>
      </c>
      <c r="L12">
        <v>0.65600000000000003</v>
      </c>
      <c r="M12">
        <v>59</v>
      </c>
      <c r="N12">
        <v>5555</v>
      </c>
      <c r="O12">
        <v>3694</v>
      </c>
      <c r="P12">
        <v>2416</v>
      </c>
      <c r="Q12">
        <v>43121</v>
      </c>
      <c r="R12">
        <v>719</v>
      </c>
      <c r="S12">
        <v>30</v>
      </c>
      <c r="T12">
        <v>1143</v>
      </c>
      <c r="U12">
        <v>22320</v>
      </c>
      <c r="V12">
        <v>4032</v>
      </c>
      <c r="W12">
        <v>116</v>
      </c>
      <c r="X12">
        <v>274</v>
      </c>
      <c r="Y12">
        <v>773</v>
      </c>
      <c r="Z12">
        <v>109</v>
      </c>
      <c r="AA12">
        <v>882</v>
      </c>
    </row>
    <row r="13" spans="1:27" x14ac:dyDescent="0.3">
      <c r="A13">
        <v>1</v>
      </c>
      <c r="B13" t="s">
        <v>37</v>
      </c>
      <c r="C13">
        <v>2026</v>
      </c>
      <c r="D13">
        <v>12</v>
      </c>
      <c r="E13" t="s">
        <v>42</v>
      </c>
      <c r="F13">
        <v>531695</v>
      </c>
      <c r="G13">
        <v>0.90069999999999995</v>
      </c>
      <c r="H13">
        <v>96.6</v>
      </c>
      <c r="I13">
        <v>0.91410000000000002</v>
      </c>
      <c r="J13">
        <v>1510963</v>
      </c>
      <c r="K13">
        <v>0.6321</v>
      </c>
      <c r="L13">
        <v>0.63970000000000005</v>
      </c>
      <c r="M13">
        <v>74</v>
      </c>
      <c r="N13">
        <v>9780</v>
      </c>
      <c r="O13">
        <v>7859</v>
      </c>
      <c r="P13">
        <v>5582</v>
      </c>
      <c r="Q13">
        <v>4539</v>
      </c>
      <c r="R13">
        <v>504</v>
      </c>
      <c r="S13">
        <v>61</v>
      </c>
      <c r="T13">
        <v>154</v>
      </c>
      <c r="U13">
        <v>49975</v>
      </c>
      <c r="V13">
        <v>1595</v>
      </c>
      <c r="W13">
        <v>452</v>
      </c>
      <c r="X13">
        <v>118</v>
      </c>
      <c r="Y13">
        <v>875</v>
      </c>
      <c r="Z13">
        <v>136</v>
      </c>
      <c r="AA13">
        <v>1011</v>
      </c>
    </row>
    <row r="14" spans="1:27" x14ac:dyDescent="0.3">
      <c r="A14">
        <v>2</v>
      </c>
      <c r="B14" t="s">
        <v>39</v>
      </c>
      <c r="C14">
        <v>2026</v>
      </c>
      <c r="D14">
        <v>1</v>
      </c>
      <c r="E14" t="s">
        <v>27</v>
      </c>
      <c r="F14">
        <v>747370</v>
      </c>
      <c r="G14">
        <v>0.97189999999999999</v>
      </c>
      <c r="H14">
        <v>15.8</v>
      </c>
      <c r="I14">
        <v>0.93759999999999999</v>
      </c>
      <c r="J14">
        <v>1927341</v>
      </c>
      <c r="K14">
        <v>0.63719999999999999</v>
      </c>
      <c r="L14">
        <v>0.63929999999999998</v>
      </c>
      <c r="M14">
        <v>91</v>
      </c>
      <c r="N14">
        <v>5112</v>
      </c>
      <c r="O14">
        <v>14205</v>
      </c>
      <c r="P14">
        <v>3165</v>
      </c>
      <c r="Q14">
        <v>37240</v>
      </c>
      <c r="R14">
        <v>113</v>
      </c>
      <c r="S14">
        <v>68</v>
      </c>
      <c r="T14">
        <v>1187</v>
      </c>
      <c r="U14">
        <v>37603</v>
      </c>
      <c r="V14">
        <v>1323</v>
      </c>
      <c r="W14">
        <v>850</v>
      </c>
      <c r="X14">
        <v>354</v>
      </c>
      <c r="Y14">
        <v>2589</v>
      </c>
      <c r="Z14">
        <v>176</v>
      </c>
      <c r="AA14">
        <v>2765</v>
      </c>
    </row>
    <row r="15" spans="1:27" x14ac:dyDescent="0.3">
      <c r="A15">
        <v>2</v>
      </c>
      <c r="B15" t="s">
        <v>39</v>
      </c>
      <c r="C15">
        <v>2026</v>
      </c>
      <c r="D15">
        <v>2</v>
      </c>
      <c r="E15" t="s">
        <v>28</v>
      </c>
      <c r="F15">
        <v>678916</v>
      </c>
      <c r="G15">
        <v>0.88380000000000003</v>
      </c>
      <c r="H15">
        <v>55.7</v>
      </c>
      <c r="I15">
        <v>0.90380000000000005</v>
      </c>
      <c r="J15">
        <v>120720</v>
      </c>
      <c r="K15">
        <v>0.44450000000000001</v>
      </c>
      <c r="L15">
        <v>0.5071</v>
      </c>
      <c r="M15">
        <v>152</v>
      </c>
      <c r="N15">
        <v>6181</v>
      </c>
      <c r="O15">
        <v>10840</v>
      </c>
      <c r="P15">
        <v>8026</v>
      </c>
      <c r="Q15">
        <v>27635</v>
      </c>
      <c r="R15">
        <v>277</v>
      </c>
      <c r="S15">
        <v>87</v>
      </c>
      <c r="T15">
        <v>160</v>
      </c>
      <c r="U15">
        <v>17484</v>
      </c>
      <c r="V15">
        <v>1948</v>
      </c>
      <c r="W15">
        <v>915</v>
      </c>
      <c r="X15">
        <v>429</v>
      </c>
      <c r="Y15">
        <v>2207</v>
      </c>
      <c r="Z15">
        <v>27</v>
      </c>
      <c r="AA15">
        <v>2234</v>
      </c>
    </row>
    <row r="16" spans="1:27" x14ac:dyDescent="0.3">
      <c r="A16">
        <v>2</v>
      </c>
      <c r="B16" t="s">
        <v>39</v>
      </c>
      <c r="C16">
        <v>2026</v>
      </c>
      <c r="D16">
        <v>3</v>
      </c>
      <c r="E16" t="s">
        <v>29</v>
      </c>
      <c r="F16">
        <v>469717</v>
      </c>
      <c r="G16">
        <v>0.93459999999999999</v>
      </c>
      <c r="H16">
        <v>68.2</v>
      </c>
      <c r="I16">
        <v>0.90269999999999995</v>
      </c>
      <c r="J16">
        <v>1604858</v>
      </c>
      <c r="K16">
        <v>0.67120000000000002</v>
      </c>
      <c r="L16">
        <v>0.56159999999999999</v>
      </c>
      <c r="M16">
        <v>81</v>
      </c>
      <c r="N16">
        <v>6118</v>
      </c>
      <c r="O16">
        <v>13453</v>
      </c>
      <c r="P16">
        <v>17445</v>
      </c>
      <c r="Q16">
        <v>2919</v>
      </c>
      <c r="R16">
        <v>836</v>
      </c>
      <c r="S16">
        <v>27</v>
      </c>
      <c r="T16">
        <v>776</v>
      </c>
      <c r="U16">
        <v>28369</v>
      </c>
      <c r="V16">
        <v>4067</v>
      </c>
      <c r="W16">
        <v>198</v>
      </c>
      <c r="X16">
        <v>110</v>
      </c>
      <c r="Y16">
        <v>2259</v>
      </c>
      <c r="Z16">
        <v>34</v>
      </c>
      <c r="AA16">
        <v>2293</v>
      </c>
    </row>
    <row r="17" spans="1:27" x14ac:dyDescent="0.3">
      <c r="A17">
        <v>2</v>
      </c>
      <c r="B17" t="s">
        <v>39</v>
      </c>
      <c r="C17">
        <v>2026</v>
      </c>
      <c r="D17">
        <v>4</v>
      </c>
      <c r="E17" t="s">
        <v>30</v>
      </c>
      <c r="F17">
        <v>1321032</v>
      </c>
      <c r="G17">
        <v>0.9093</v>
      </c>
      <c r="H17">
        <v>11.6</v>
      </c>
      <c r="I17">
        <v>0.97599999999999998</v>
      </c>
      <c r="J17">
        <v>410741</v>
      </c>
      <c r="K17">
        <v>0.6895</v>
      </c>
      <c r="L17">
        <v>0.54049999999999998</v>
      </c>
      <c r="M17">
        <v>142</v>
      </c>
      <c r="N17">
        <v>7858</v>
      </c>
      <c r="O17">
        <v>7383</v>
      </c>
      <c r="P17">
        <v>12690</v>
      </c>
      <c r="Q17">
        <v>21671</v>
      </c>
      <c r="R17">
        <v>472</v>
      </c>
      <c r="S17">
        <v>59</v>
      </c>
      <c r="T17">
        <v>1430</v>
      </c>
      <c r="U17">
        <v>38918</v>
      </c>
      <c r="V17">
        <v>4411</v>
      </c>
      <c r="W17">
        <v>897</v>
      </c>
      <c r="X17">
        <v>272</v>
      </c>
      <c r="Y17">
        <v>2722</v>
      </c>
      <c r="Z17">
        <v>194</v>
      </c>
      <c r="AA17">
        <v>2916</v>
      </c>
    </row>
    <row r="18" spans="1:27" x14ac:dyDescent="0.3">
      <c r="A18">
        <v>2</v>
      </c>
      <c r="B18" t="s">
        <v>39</v>
      </c>
      <c r="C18">
        <v>2026</v>
      </c>
      <c r="D18">
        <v>5</v>
      </c>
      <c r="E18" t="s">
        <v>31</v>
      </c>
      <c r="F18">
        <v>109718</v>
      </c>
      <c r="G18">
        <v>0.85619999999999996</v>
      </c>
      <c r="H18">
        <v>43.6</v>
      </c>
      <c r="I18">
        <v>0.90880000000000005</v>
      </c>
      <c r="J18">
        <v>1996671</v>
      </c>
      <c r="K18">
        <v>0.52839999999999998</v>
      </c>
      <c r="L18">
        <v>0.70960000000000001</v>
      </c>
      <c r="M18">
        <v>33</v>
      </c>
      <c r="N18">
        <v>6465</v>
      </c>
      <c r="O18">
        <v>1141</v>
      </c>
      <c r="P18">
        <v>17676</v>
      </c>
      <c r="Q18">
        <v>29024</v>
      </c>
      <c r="R18">
        <v>1433</v>
      </c>
      <c r="S18">
        <v>94</v>
      </c>
      <c r="T18">
        <v>868</v>
      </c>
      <c r="U18">
        <v>32905</v>
      </c>
      <c r="V18">
        <v>2548</v>
      </c>
      <c r="W18">
        <v>653</v>
      </c>
      <c r="X18">
        <v>190</v>
      </c>
      <c r="Y18">
        <v>904</v>
      </c>
      <c r="Z18">
        <v>100</v>
      </c>
      <c r="AA18">
        <v>1004</v>
      </c>
    </row>
    <row r="19" spans="1:27" x14ac:dyDescent="0.3">
      <c r="A19">
        <v>2</v>
      </c>
      <c r="B19" t="s">
        <v>39</v>
      </c>
      <c r="C19">
        <v>2026</v>
      </c>
      <c r="D19">
        <v>6</v>
      </c>
      <c r="E19" t="s">
        <v>32</v>
      </c>
      <c r="F19">
        <v>87395</v>
      </c>
      <c r="G19">
        <v>0.8569</v>
      </c>
      <c r="H19">
        <v>49.4</v>
      </c>
      <c r="I19">
        <v>0.9819</v>
      </c>
      <c r="J19">
        <v>480690</v>
      </c>
      <c r="K19">
        <v>0.77559999999999996</v>
      </c>
      <c r="L19">
        <v>0.73309999999999997</v>
      </c>
      <c r="M19">
        <v>65</v>
      </c>
      <c r="N19">
        <v>9311</v>
      </c>
      <c r="O19">
        <v>4472</v>
      </c>
      <c r="P19">
        <v>13859</v>
      </c>
      <c r="Q19">
        <v>13522</v>
      </c>
      <c r="R19">
        <v>1752</v>
      </c>
      <c r="S19">
        <v>1</v>
      </c>
      <c r="T19">
        <v>782</v>
      </c>
      <c r="U19">
        <v>42930</v>
      </c>
      <c r="V19">
        <v>3828</v>
      </c>
      <c r="W19">
        <v>473</v>
      </c>
      <c r="X19">
        <v>347</v>
      </c>
      <c r="Y19">
        <v>544</v>
      </c>
      <c r="Z19">
        <v>14</v>
      </c>
      <c r="AA19">
        <v>558</v>
      </c>
    </row>
    <row r="20" spans="1:27" x14ac:dyDescent="0.3">
      <c r="A20">
        <v>2</v>
      </c>
      <c r="B20" t="s">
        <v>39</v>
      </c>
      <c r="C20">
        <v>2026</v>
      </c>
      <c r="D20">
        <v>7</v>
      </c>
      <c r="E20" t="s">
        <v>33</v>
      </c>
      <c r="F20">
        <v>811990</v>
      </c>
      <c r="G20">
        <v>0.9456</v>
      </c>
      <c r="H20">
        <v>94.4</v>
      </c>
      <c r="I20">
        <v>0.92689999999999995</v>
      </c>
      <c r="J20">
        <v>97914</v>
      </c>
      <c r="K20">
        <v>0.73040000000000005</v>
      </c>
      <c r="L20">
        <v>0.56940000000000002</v>
      </c>
      <c r="M20">
        <v>77</v>
      </c>
      <c r="N20">
        <v>7990</v>
      </c>
      <c r="O20">
        <v>1582</v>
      </c>
      <c r="P20">
        <v>15954</v>
      </c>
      <c r="Q20">
        <v>46443</v>
      </c>
      <c r="R20">
        <v>1591</v>
      </c>
      <c r="S20">
        <v>21</v>
      </c>
      <c r="T20">
        <v>422</v>
      </c>
      <c r="U20">
        <v>13459</v>
      </c>
      <c r="V20">
        <v>1618</v>
      </c>
      <c r="W20">
        <v>845</v>
      </c>
      <c r="X20">
        <v>112</v>
      </c>
      <c r="Y20">
        <v>961</v>
      </c>
      <c r="Z20">
        <v>130</v>
      </c>
      <c r="AA20">
        <v>1091</v>
      </c>
    </row>
    <row r="21" spans="1:27" x14ac:dyDescent="0.3">
      <c r="A21">
        <v>2</v>
      </c>
      <c r="B21" t="s">
        <v>39</v>
      </c>
      <c r="C21">
        <v>2026</v>
      </c>
      <c r="D21">
        <v>8</v>
      </c>
      <c r="E21" t="s">
        <v>34</v>
      </c>
      <c r="F21">
        <v>987502</v>
      </c>
      <c r="G21">
        <v>0.96970000000000001</v>
      </c>
      <c r="H21">
        <v>50.6</v>
      </c>
      <c r="I21">
        <v>0.94579999999999997</v>
      </c>
      <c r="J21">
        <v>446275</v>
      </c>
      <c r="K21">
        <v>0.97670000000000001</v>
      </c>
      <c r="L21">
        <v>0.66090000000000004</v>
      </c>
      <c r="M21">
        <v>191</v>
      </c>
      <c r="N21">
        <v>4765</v>
      </c>
      <c r="O21">
        <v>10308</v>
      </c>
      <c r="P21">
        <v>17229</v>
      </c>
      <c r="Q21">
        <v>38366</v>
      </c>
      <c r="R21">
        <v>1505</v>
      </c>
      <c r="S21">
        <v>52</v>
      </c>
      <c r="T21">
        <v>1473</v>
      </c>
      <c r="U21">
        <v>6658</v>
      </c>
      <c r="V21">
        <v>1817</v>
      </c>
      <c r="W21">
        <v>541</v>
      </c>
      <c r="X21">
        <v>278</v>
      </c>
      <c r="Y21">
        <v>2055</v>
      </c>
      <c r="Z21">
        <v>26</v>
      </c>
      <c r="AA21">
        <v>2081</v>
      </c>
    </row>
    <row r="22" spans="1:27" x14ac:dyDescent="0.3">
      <c r="A22">
        <v>2</v>
      </c>
      <c r="B22" t="s">
        <v>39</v>
      </c>
      <c r="C22">
        <v>2026</v>
      </c>
      <c r="D22">
        <v>9</v>
      </c>
      <c r="E22" t="s">
        <v>35</v>
      </c>
      <c r="F22">
        <v>349527</v>
      </c>
      <c r="G22">
        <v>0.9264</v>
      </c>
      <c r="H22">
        <v>10.1</v>
      </c>
      <c r="I22">
        <v>0.96550000000000002</v>
      </c>
      <c r="J22">
        <v>1107376</v>
      </c>
      <c r="K22">
        <v>0.81979999999999997</v>
      </c>
      <c r="L22">
        <v>0.7298</v>
      </c>
      <c r="M22">
        <v>59</v>
      </c>
      <c r="N22">
        <v>5900</v>
      </c>
      <c r="O22">
        <v>5485</v>
      </c>
      <c r="P22">
        <v>19020</v>
      </c>
      <c r="Q22">
        <v>3581</v>
      </c>
      <c r="R22">
        <v>1496</v>
      </c>
      <c r="S22">
        <v>62</v>
      </c>
      <c r="T22">
        <v>1106</v>
      </c>
      <c r="U22">
        <v>10666</v>
      </c>
      <c r="V22">
        <v>4571</v>
      </c>
      <c r="W22">
        <v>381</v>
      </c>
      <c r="X22">
        <v>54</v>
      </c>
      <c r="Y22">
        <v>2526</v>
      </c>
      <c r="Z22">
        <v>17</v>
      </c>
      <c r="AA22">
        <v>2543</v>
      </c>
    </row>
    <row r="23" spans="1:27" x14ac:dyDescent="0.3">
      <c r="A23">
        <v>2</v>
      </c>
      <c r="B23" t="s">
        <v>39</v>
      </c>
      <c r="C23">
        <v>2026</v>
      </c>
      <c r="D23">
        <v>10</v>
      </c>
      <c r="E23" t="s">
        <v>40</v>
      </c>
      <c r="F23">
        <v>1025198</v>
      </c>
      <c r="G23">
        <v>0.96840000000000004</v>
      </c>
      <c r="H23">
        <v>39.299999999999997</v>
      </c>
      <c r="I23">
        <v>0.97729999999999995</v>
      </c>
      <c r="J23">
        <v>1037535</v>
      </c>
      <c r="K23">
        <v>0.59199999999999997</v>
      </c>
      <c r="L23">
        <v>0.66790000000000005</v>
      </c>
      <c r="M23">
        <v>122</v>
      </c>
      <c r="N23">
        <v>8563</v>
      </c>
      <c r="O23">
        <v>7774</v>
      </c>
      <c r="P23">
        <v>18052</v>
      </c>
      <c r="Q23">
        <v>20919</v>
      </c>
      <c r="R23">
        <v>951</v>
      </c>
      <c r="S23">
        <v>48</v>
      </c>
      <c r="T23">
        <v>1367</v>
      </c>
      <c r="U23">
        <v>17157</v>
      </c>
      <c r="V23">
        <v>2037</v>
      </c>
      <c r="W23">
        <v>353</v>
      </c>
      <c r="X23">
        <v>346</v>
      </c>
      <c r="Y23">
        <v>1828</v>
      </c>
      <c r="Z23">
        <v>11</v>
      </c>
      <c r="AA23">
        <v>1839</v>
      </c>
    </row>
    <row r="24" spans="1:27" x14ac:dyDescent="0.3">
      <c r="A24">
        <v>2</v>
      </c>
      <c r="B24" t="s">
        <v>39</v>
      </c>
      <c r="C24">
        <v>2026</v>
      </c>
      <c r="D24">
        <v>11</v>
      </c>
      <c r="E24" t="s">
        <v>41</v>
      </c>
      <c r="F24">
        <v>140104</v>
      </c>
      <c r="G24">
        <v>0.86939999999999995</v>
      </c>
      <c r="H24">
        <v>18.2</v>
      </c>
      <c r="I24">
        <v>0.9546</v>
      </c>
      <c r="J24">
        <v>1712118</v>
      </c>
      <c r="K24">
        <v>0.39219999999999999</v>
      </c>
      <c r="L24">
        <v>0.58889999999999998</v>
      </c>
      <c r="M24">
        <v>48</v>
      </c>
      <c r="N24">
        <v>4921</v>
      </c>
      <c r="O24">
        <v>6437</v>
      </c>
      <c r="P24">
        <v>6792</v>
      </c>
      <c r="Q24">
        <v>48073</v>
      </c>
      <c r="R24">
        <v>1983</v>
      </c>
      <c r="S24">
        <v>35</v>
      </c>
      <c r="T24">
        <v>515</v>
      </c>
      <c r="U24">
        <v>33732</v>
      </c>
      <c r="V24">
        <v>1118</v>
      </c>
      <c r="W24">
        <v>345</v>
      </c>
      <c r="X24">
        <v>118</v>
      </c>
      <c r="Y24">
        <v>2916</v>
      </c>
      <c r="Z24">
        <v>71</v>
      </c>
      <c r="AA24">
        <v>2987</v>
      </c>
    </row>
    <row r="25" spans="1:27" x14ac:dyDescent="0.3">
      <c r="A25">
        <v>2</v>
      </c>
      <c r="B25" t="s">
        <v>39</v>
      </c>
      <c r="C25">
        <v>2026</v>
      </c>
      <c r="D25">
        <v>12</v>
      </c>
      <c r="E25" t="s">
        <v>42</v>
      </c>
      <c r="F25">
        <v>723014</v>
      </c>
      <c r="G25">
        <v>0.87460000000000004</v>
      </c>
      <c r="H25">
        <v>8.3000000000000007</v>
      </c>
      <c r="I25">
        <v>0.89459999999999995</v>
      </c>
      <c r="J25">
        <v>39203</v>
      </c>
      <c r="K25">
        <v>0.6472</v>
      </c>
      <c r="L25">
        <v>0.54530000000000001</v>
      </c>
      <c r="M25">
        <v>95</v>
      </c>
      <c r="N25">
        <v>6646</v>
      </c>
      <c r="O25">
        <v>4245</v>
      </c>
      <c r="P25">
        <v>14944</v>
      </c>
      <c r="Q25">
        <v>17807</v>
      </c>
      <c r="R25">
        <v>414</v>
      </c>
      <c r="S25">
        <v>84</v>
      </c>
      <c r="T25">
        <v>1413</v>
      </c>
      <c r="U25">
        <v>25343</v>
      </c>
      <c r="V25">
        <v>3571</v>
      </c>
      <c r="W25">
        <v>475</v>
      </c>
      <c r="X25">
        <v>170</v>
      </c>
      <c r="Y25">
        <v>2811</v>
      </c>
      <c r="Z25">
        <v>56</v>
      </c>
      <c r="AA25">
        <v>2867</v>
      </c>
    </row>
    <row r="26" spans="1:27" x14ac:dyDescent="0.3">
      <c r="A26">
        <v>3</v>
      </c>
      <c r="B26" t="s">
        <v>38</v>
      </c>
      <c r="C26">
        <v>2026</v>
      </c>
      <c r="D26">
        <v>1</v>
      </c>
      <c r="E26" t="s">
        <v>27</v>
      </c>
      <c r="F26">
        <v>663321</v>
      </c>
      <c r="G26">
        <v>0.89859999999999995</v>
      </c>
      <c r="H26">
        <v>25.1</v>
      </c>
      <c r="I26">
        <v>0.96360000000000001</v>
      </c>
      <c r="J26">
        <v>161573</v>
      </c>
      <c r="K26">
        <v>0.91959999999999997</v>
      </c>
      <c r="L26">
        <v>0.61119999999999997</v>
      </c>
      <c r="M26">
        <v>143</v>
      </c>
      <c r="N26">
        <v>2966</v>
      </c>
      <c r="O26">
        <v>12445</v>
      </c>
      <c r="P26">
        <v>4371</v>
      </c>
      <c r="Q26">
        <v>25497</v>
      </c>
      <c r="R26">
        <v>625</v>
      </c>
      <c r="S26">
        <v>35</v>
      </c>
      <c r="T26">
        <v>908</v>
      </c>
      <c r="U26">
        <v>11730</v>
      </c>
      <c r="V26">
        <v>4008</v>
      </c>
      <c r="W26">
        <v>841</v>
      </c>
      <c r="X26">
        <v>350</v>
      </c>
      <c r="Y26">
        <v>1828</v>
      </c>
      <c r="Z26">
        <v>23</v>
      </c>
      <c r="AA26">
        <v>1851</v>
      </c>
    </row>
    <row r="27" spans="1:27" x14ac:dyDescent="0.3">
      <c r="A27">
        <v>3</v>
      </c>
      <c r="B27" t="s">
        <v>38</v>
      </c>
      <c r="C27">
        <v>2026</v>
      </c>
      <c r="D27">
        <v>2</v>
      </c>
      <c r="E27" t="s">
        <v>28</v>
      </c>
      <c r="F27">
        <v>172858</v>
      </c>
      <c r="G27">
        <v>0.92659999999999998</v>
      </c>
      <c r="H27">
        <v>40.5</v>
      </c>
      <c r="I27">
        <v>0.86019999999999996</v>
      </c>
      <c r="J27">
        <v>890307</v>
      </c>
      <c r="K27">
        <v>0.79049999999999998</v>
      </c>
      <c r="L27">
        <v>0.79679999999999995</v>
      </c>
      <c r="M27">
        <v>113</v>
      </c>
      <c r="N27">
        <v>7895</v>
      </c>
      <c r="O27">
        <v>4244</v>
      </c>
      <c r="P27">
        <v>19787</v>
      </c>
      <c r="Q27">
        <v>40315</v>
      </c>
      <c r="R27">
        <v>1172</v>
      </c>
      <c r="S27">
        <v>94</v>
      </c>
      <c r="T27">
        <v>714</v>
      </c>
      <c r="U27">
        <v>44661</v>
      </c>
      <c r="V27">
        <v>4897</v>
      </c>
      <c r="W27">
        <v>542</v>
      </c>
      <c r="X27">
        <v>468</v>
      </c>
      <c r="Y27">
        <v>1097</v>
      </c>
      <c r="Z27">
        <v>26</v>
      </c>
      <c r="AA27">
        <v>1123</v>
      </c>
    </row>
    <row r="28" spans="1:27" x14ac:dyDescent="0.3">
      <c r="A28">
        <v>3</v>
      </c>
      <c r="B28" t="s">
        <v>38</v>
      </c>
      <c r="C28">
        <v>2026</v>
      </c>
      <c r="D28">
        <v>3</v>
      </c>
      <c r="E28" t="s">
        <v>29</v>
      </c>
      <c r="F28">
        <v>252177</v>
      </c>
      <c r="G28">
        <v>0.8931</v>
      </c>
      <c r="H28">
        <v>36.700000000000003</v>
      </c>
      <c r="I28">
        <v>0.85950000000000004</v>
      </c>
      <c r="J28">
        <v>418791</v>
      </c>
      <c r="K28">
        <v>0.5101</v>
      </c>
      <c r="L28">
        <v>0.97850000000000004</v>
      </c>
      <c r="M28">
        <v>183</v>
      </c>
      <c r="N28">
        <v>6822</v>
      </c>
      <c r="O28">
        <v>10299</v>
      </c>
      <c r="P28">
        <v>14102</v>
      </c>
      <c r="Q28">
        <v>14585</v>
      </c>
      <c r="R28">
        <v>1525</v>
      </c>
      <c r="S28">
        <v>78</v>
      </c>
      <c r="T28">
        <v>1384</v>
      </c>
      <c r="U28">
        <v>12611</v>
      </c>
      <c r="V28">
        <v>1249</v>
      </c>
      <c r="W28">
        <v>921</v>
      </c>
      <c r="X28">
        <v>191</v>
      </c>
      <c r="Y28">
        <v>1279</v>
      </c>
      <c r="Z28">
        <v>15</v>
      </c>
      <c r="AA28">
        <v>1294</v>
      </c>
    </row>
    <row r="29" spans="1:27" x14ac:dyDescent="0.3">
      <c r="A29">
        <v>3</v>
      </c>
      <c r="B29" t="s">
        <v>38</v>
      </c>
      <c r="C29">
        <v>2026</v>
      </c>
      <c r="D29">
        <v>4</v>
      </c>
      <c r="E29" t="s">
        <v>30</v>
      </c>
      <c r="F29">
        <v>277459</v>
      </c>
      <c r="G29">
        <v>0.90600000000000003</v>
      </c>
      <c r="H29">
        <v>67.599999999999994</v>
      </c>
      <c r="I29">
        <v>0.97350000000000003</v>
      </c>
      <c r="J29">
        <v>248922</v>
      </c>
      <c r="K29">
        <v>0.97419999999999995</v>
      </c>
      <c r="L29">
        <v>0.62290000000000001</v>
      </c>
      <c r="M29">
        <v>42</v>
      </c>
      <c r="N29">
        <v>2158</v>
      </c>
      <c r="O29">
        <v>8426</v>
      </c>
      <c r="P29">
        <v>4514</v>
      </c>
      <c r="Q29">
        <v>35104</v>
      </c>
      <c r="R29">
        <v>658</v>
      </c>
      <c r="S29">
        <v>53</v>
      </c>
      <c r="T29">
        <v>863</v>
      </c>
      <c r="U29">
        <v>20201</v>
      </c>
      <c r="V29">
        <v>2928</v>
      </c>
      <c r="W29">
        <v>778</v>
      </c>
      <c r="X29">
        <v>412</v>
      </c>
      <c r="Y29">
        <v>2257</v>
      </c>
      <c r="Z29">
        <v>134</v>
      </c>
      <c r="AA29">
        <v>2391</v>
      </c>
    </row>
    <row r="30" spans="1:27" x14ac:dyDescent="0.3">
      <c r="A30">
        <v>3</v>
      </c>
      <c r="B30" t="s">
        <v>38</v>
      </c>
      <c r="C30">
        <v>2026</v>
      </c>
      <c r="D30">
        <v>5</v>
      </c>
      <c r="E30" t="s">
        <v>31</v>
      </c>
      <c r="F30">
        <v>1023200</v>
      </c>
      <c r="G30">
        <v>0.877</v>
      </c>
      <c r="H30">
        <v>68.8</v>
      </c>
      <c r="I30">
        <v>0.94340000000000002</v>
      </c>
      <c r="J30">
        <v>1049595</v>
      </c>
      <c r="K30">
        <v>0.73819999999999997</v>
      </c>
      <c r="L30">
        <v>0.89200000000000002</v>
      </c>
      <c r="M30">
        <v>161</v>
      </c>
      <c r="N30">
        <v>6594</v>
      </c>
      <c r="O30">
        <v>6292</v>
      </c>
      <c r="P30">
        <v>17196</v>
      </c>
      <c r="Q30">
        <v>24817</v>
      </c>
      <c r="R30">
        <v>989</v>
      </c>
      <c r="S30">
        <v>20</v>
      </c>
      <c r="T30">
        <v>921</v>
      </c>
      <c r="U30">
        <v>13093</v>
      </c>
      <c r="V30">
        <v>3730</v>
      </c>
      <c r="W30">
        <v>821</v>
      </c>
      <c r="X30">
        <v>30</v>
      </c>
      <c r="Y30">
        <v>2861</v>
      </c>
      <c r="Z30">
        <v>161</v>
      </c>
      <c r="AA30">
        <v>3022</v>
      </c>
    </row>
    <row r="31" spans="1:27" x14ac:dyDescent="0.3">
      <c r="A31">
        <v>3</v>
      </c>
      <c r="B31" t="s">
        <v>38</v>
      </c>
      <c r="C31">
        <v>2026</v>
      </c>
      <c r="D31">
        <v>6</v>
      </c>
      <c r="E31" t="s">
        <v>32</v>
      </c>
      <c r="F31">
        <v>923329</v>
      </c>
      <c r="G31">
        <v>0.93259999999999998</v>
      </c>
      <c r="H31">
        <v>14.2</v>
      </c>
      <c r="I31">
        <v>0.91090000000000004</v>
      </c>
      <c r="J31">
        <v>294504</v>
      </c>
      <c r="K31">
        <v>0.96970000000000001</v>
      </c>
      <c r="L31">
        <v>0.74470000000000003</v>
      </c>
      <c r="M31">
        <v>173</v>
      </c>
      <c r="N31">
        <v>1532</v>
      </c>
      <c r="O31">
        <v>4739</v>
      </c>
      <c r="P31">
        <v>10251</v>
      </c>
      <c r="Q31">
        <v>30925</v>
      </c>
      <c r="R31">
        <v>978</v>
      </c>
      <c r="S31">
        <v>32</v>
      </c>
      <c r="T31">
        <v>880</v>
      </c>
      <c r="U31">
        <v>12419</v>
      </c>
      <c r="V31">
        <v>2468</v>
      </c>
      <c r="W31">
        <v>218</v>
      </c>
      <c r="X31">
        <v>430</v>
      </c>
      <c r="Y31">
        <v>1850</v>
      </c>
      <c r="Z31">
        <v>61</v>
      </c>
      <c r="AA31">
        <v>1911</v>
      </c>
    </row>
    <row r="32" spans="1:27" x14ac:dyDescent="0.3">
      <c r="A32">
        <v>3</v>
      </c>
      <c r="B32" t="s">
        <v>38</v>
      </c>
      <c r="C32">
        <v>2026</v>
      </c>
      <c r="D32">
        <v>7</v>
      </c>
      <c r="E32" t="s">
        <v>33</v>
      </c>
      <c r="F32">
        <v>655489</v>
      </c>
      <c r="G32">
        <v>0.88739999999999997</v>
      </c>
      <c r="H32">
        <v>65.5</v>
      </c>
      <c r="I32">
        <v>0.87380000000000002</v>
      </c>
      <c r="J32">
        <v>427735</v>
      </c>
      <c r="K32">
        <v>0.70209999999999995</v>
      </c>
      <c r="L32">
        <v>0.84719999999999995</v>
      </c>
      <c r="M32">
        <v>74</v>
      </c>
      <c r="N32">
        <v>9056</v>
      </c>
      <c r="O32">
        <v>9535</v>
      </c>
      <c r="P32">
        <v>15765</v>
      </c>
      <c r="Q32">
        <v>43976</v>
      </c>
      <c r="R32">
        <v>233</v>
      </c>
      <c r="S32">
        <v>36</v>
      </c>
      <c r="T32">
        <v>1467</v>
      </c>
      <c r="U32">
        <v>26849</v>
      </c>
      <c r="V32">
        <v>2332</v>
      </c>
      <c r="W32">
        <v>677</v>
      </c>
      <c r="X32">
        <v>107</v>
      </c>
      <c r="Y32">
        <v>2322</v>
      </c>
      <c r="Z32">
        <v>65</v>
      </c>
      <c r="AA32">
        <v>2387</v>
      </c>
    </row>
    <row r="33" spans="1:27" x14ac:dyDescent="0.3">
      <c r="A33">
        <v>3</v>
      </c>
      <c r="B33" t="s">
        <v>38</v>
      </c>
      <c r="C33">
        <v>2026</v>
      </c>
      <c r="D33">
        <v>8</v>
      </c>
      <c r="E33" t="s">
        <v>34</v>
      </c>
      <c r="F33">
        <v>119095</v>
      </c>
      <c r="G33">
        <v>0.9667</v>
      </c>
      <c r="H33">
        <v>5.7</v>
      </c>
      <c r="I33">
        <v>0.93700000000000006</v>
      </c>
      <c r="J33">
        <v>88022</v>
      </c>
      <c r="K33">
        <v>0.59209999999999996</v>
      </c>
      <c r="L33">
        <v>0.53390000000000004</v>
      </c>
      <c r="M33">
        <v>88</v>
      </c>
      <c r="N33">
        <v>3912</v>
      </c>
      <c r="O33">
        <v>7361</v>
      </c>
      <c r="P33">
        <v>4994</v>
      </c>
      <c r="Q33">
        <v>24355</v>
      </c>
      <c r="R33">
        <v>471</v>
      </c>
      <c r="S33">
        <v>63</v>
      </c>
      <c r="T33">
        <v>469</v>
      </c>
      <c r="U33">
        <v>34648</v>
      </c>
      <c r="V33">
        <v>2252</v>
      </c>
      <c r="W33">
        <v>108</v>
      </c>
      <c r="X33">
        <v>498</v>
      </c>
      <c r="Y33">
        <v>2772</v>
      </c>
      <c r="Z33">
        <v>37</v>
      </c>
      <c r="AA33">
        <v>2809</v>
      </c>
    </row>
    <row r="34" spans="1:27" x14ac:dyDescent="0.3">
      <c r="A34">
        <v>3</v>
      </c>
      <c r="B34" t="s">
        <v>38</v>
      </c>
      <c r="C34">
        <v>2026</v>
      </c>
      <c r="D34">
        <v>9</v>
      </c>
      <c r="E34" t="s">
        <v>35</v>
      </c>
      <c r="F34">
        <v>945850</v>
      </c>
      <c r="G34">
        <v>0.90169999999999995</v>
      </c>
      <c r="H34">
        <v>38.4</v>
      </c>
      <c r="I34">
        <v>0.85780000000000001</v>
      </c>
      <c r="J34">
        <v>356360</v>
      </c>
      <c r="K34">
        <v>0.25180000000000002</v>
      </c>
      <c r="L34">
        <v>0.79810000000000003</v>
      </c>
      <c r="M34">
        <v>186</v>
      </c>
      <c r="N34">
        <v>1172</v>
      </c>
      <c r="O34">
        <v>9711</v>
      </c>
      <c r="P34">
        <v>4089</v>
      </c>
      <c r="Q34">
        <v>31588</v>
      </c>
      <c r="R34">
        <v>1043</v>
      </c>
      <c r="S34">
        <v>50</v>
      </c>
      <c r="T34">
        <v>196</v>
      </c>
      <c r="U34">
        <v>4478</v>
      </c>
      <c r="V34">
        <v>3483</v>
      </c>
      <c r="W34">
        <v>669</v>
      </c>
      <c r="X34">
        <v>230</v>
      </c>
      <c r="Y34">
        <v>2536</v>
      </c>
      <c r="Z34">
        <v>185</v>
      </c>
      <c r="AA34">
        <v>2721</v>
      </c>
    </row>
    <row r="35" spans="1:27" x14ac:dyDescent="0.3">
      <c r="A35">
        <v>3</v>
      </c>
      <c r="B35" t="s">
        <v>38</v>
      </c>
      <c r="C35">
        <v>2026</v>
      </c>
      <c r="D35">
        <v>10</v>
      </c>
      <c r="E35" t="s">
        <v>40</v>
      </c>
      <c r="F35">
        <v>899858</v>
      </c>
      <c r="G35">
        <v>0.92110000000000003</v>
      </c>
      <c r="H35">
        <v>60.8</v>
      </c>
      <c r="I35">
        <v>0.93700000000000006</v>
      </c>
      <c r="J35">
        <v>404532</v>
      </c>
      <c r="K35">
        <v>0.74650000000000005</v>
      </c>
      <c r="L35">
        <v>0.65369999999999995</v>
      </c>
      <c r="M35">
        <v>197</v>
      </c>
      <c r="N35">
        <v>3060</v>
      </c>
      <c r="O35">
        <v>1102</v>
      </c>
      <c r="P35">
        <v>8459</v>
      </c>
      <c r="Q35">
        <v>14709</v>
      </c>
      <c r="R35">
        <v>305</v>
      </c>
      <c r="S35">
        <v>68</v>
      </c>
      <c r="T35">
        <v>985</v>
      </c>
      <c r="U35">
        <v>7069</v>
      </c>
      <c r="V35">
        <v>1900</v>
      </c>
      <c r="W35">
        <v>151</v>
      </c>
      <c r="X35">
        <v>77</v>
      </c>
      <c r="Y35">
        <v>1801</v>
      </c>
      <c r="Z35">
        <v>156</v>
      </c>
      <c r="AA35">
        <v>1957</v>
      </c>
    </row>
    <row r="36" spans="1:27" x14ac:dyDescent="0.3">
      <c r="A36">
        <v>3</v>
      </c>
      <c r="B36" t="s">
        <v>38</v>
      </c>
      <c r="C36">
        <v>2026</v>
      </c>
      <c r="D36">
        <v>11</v>
      </c>
      <c r="E36" t="s">
        <v>41</v>
      </c>
      <c r="F36">
        <v>1027738</v>
      </c>
      <c r="G36">
        <v>0.85740000000000005</v>
      </c>
      <c r="H36">
        <v>28</v>
      </c>
      <c r="I36">
        <v>0.93730000000000002</v>
      </c>
      <c r="J36">
        <v>186265</v>
      </c>
      <c r="K36">
        <v>0.9788</v>
      </c>
      <c r="L36">
        <v>0.56259999999999999</v>
      </c>
      <c r="M36">
        <v>26</v>
      </c>
      <c r="N36">
        <v>1089</v>
      </c>
      <c r="O36">
        <v>1447</v>
      </c>
      <c r="P36">
        <v>15958</v>
      </c>
      <c r="Q36">
        <v>24346</v>
      </c>
      <c r="R36">
        <v>1018</v>
      </c>
      <c r="S36">
        <v>9</v>
      </c>
      <c r="T36">
        <v>891</v>
      </c>
      <c r="U36">
        <v>32405</v>
      </c>
      <c r="V36">
        <v>4804</v>
      </c>
      <c r="W36">
        <v>270</v>
      </c>
      <c r="X36">
        <v>233</v>
      </c>
      <c r="Y36">
        <v>1121</v>
      </c>
      <c r="Z36">
        <v>58</v>
      </c>
      <c r="AA36">
        <v>1179</v>
      </c>
    </row>
    <row r="37" spans="1:27" x14ac:dyDescent="0.3">
      <c r="A37">
        <v>3</v>
      </c>
      <c r="B37" t="s">
        <v>38</v>
      </c>
      <c r="C37">
        <v>2026</v>
      </c>
      <c r="D37">
        <v>12</v>
      </c>
      <c r="E37" t="s">
        <v>42</v>
      </c>
      <c r="F37">
        <v>1089362</v>
      </c>
      <c r="G37">
        <v>0.94550000000000001</v>
      </c>
      <c r="H37">
        <v>74.7</v>
      </c>
      <c r="I37">
        <v>0.9234</v>
      </c>
      <c r="J37">
        <v>1501057</v>
      </c>
      <c r="K37">
        <v>0.64119999999999999</v>
      </c>
      <c r="L37">
        <v>0.65610000000000002</v>
      </c>
      <c r="M37">
        <v>176</v>
      </c>
      <c r="N37">
        <v>4341</v>
      </c>
      <c r="O37">
        <v>12624</v>
      </c>
      <c r="P37">
        <v>6478</v>
      </c>
      <c r="Q37">
        <v>31705</v>
      </c>
      <c r="R37">
        <v>834</v>
      </c>
      <c r="S37">
        <v>51</v>
      </c>
      <c r="T37">
        <v>467</v>
      </c>
      <c r="U37">
        <v>25662</v>
      </c>
      <c r="V37">
        <v>2529</v>
      </c>
      <c r="W37">
        <v>298</v>
      </c>
      <c r="X37">
        <v>453</v>
      </c>
      <c r="Y37">
        <v>1038</v>
      </c>
      <c r="Z37">
        <v>124</v>
      </c>
      <c r="AA37">
        <v>1162</v>
      </c>
    </row>
    <row r="38" spans="1:27" x14ac:dyDescent="0.3">
      <c r="A38">
        <v>4</v>
      </c>
      <c r="B38" t="s">
        <v>50</v>
      </c>
      <c r="C38">
        <v>2026</v>
      </c>
      <c r="D38">
        <v>1</v>
      </c>
      <c r="E38" t="s">
        <v>27</v>
      </c>
      <c r="F38">
        <v>596767</v>
      </c>
      <c r="G38">
        <v>0.97399999999999998</v>
      </c>
      <c r="H38">
        <v>66.599999999999994</v>
      </c>
      <c r="I38">
        <v>0.85199999999999998</v>
      </c>
      <c r="J38">
        <v>1270349</v>
      </c>
      <c r="K38">
        <v>0.41889999999999999</v>
      </c>
      <c r="L38">
        <v>0.82950000000000002</v>
      </c>
      <c r="M38">
        <v>135</v>
      </c>
      <c r="N38">
        <v>1685</v>
      </c>
      <c r="O38">
        <v>10667</v>
      </c>
      <c r="P38">
        <v>5632</v>
      </c>
      <c r="Q38">
        <v>11875</v>
      </c>
      <c r="R38">
        <v>276</v>
      </c>
      <c r="S38">
        <v>9</v>
      </c>
      <c r="T38">
        <v>1143</v>
      </c>
      <c r="U38">
        <v>2821</v>
      </c>
      <c r="V38">
        <v>3377</v>
      </c>
      <c r="W38">
        <v>409</v>
      </c>
      <c r="X38">
        <v>304</v>
      </c>
      <c r="Y38">
        <v>2804</v>
      </c>
      <c r="Z38">
        <v>151</v>
      </c>
      <c r="AA38">
        <v>2955</v>
      </c>
    </row>
    <row r="39" spans="1:27" x14ac:dyDescent="0.3">
      <c r="A39">
        <v>4</v>
      </c>
      <c r="B39" t="s">
        <v>50</v>
      </c>
      <c r="C39">
        <v>2026</v>
      </c>
      <c r="D39">
        <v>2</v>
      </c>
      <c r="E39" t="s">
        <v>28</v>
      </c>
      <c r="F39">
        <v>1283917</v>
      </c>
      <c r="G39">
        <v>0.8901</v>
      </c>
      <c r="H39">
        <v>16.7</v>
      </c>
      <c r="I39">
        <v>0.87980000000000003</v>
      </c>
      <c r="J39">
        <v>1271697</v>
      </c>
      <c r="K39">
        <v>0.2238</v>
      </c>
      <c r="L39">
        <v>0.80940000000000001</v>
      </c>
      <c r="M39">
        <v>153</v>
      </c>
      <c r="N39">
        <v>5424</v>
      </c>
      <c r="O39">
        <v>2273</v>
      </c>
      <c r="P39">
        <v>16314</v>
      </c>
      <c r="Q39">
        <v>24463</v>
      </c>
      <c r="R39">
        <v>1971</v>
      </c>
      <c r="S39">
        <v>85</v>
      </c>
      <c r="T39">
        <v>455</v>
      </c>
      <c r="U39">
        <v>47354</v>
      </c>
      <c r="V39">
        <v>607</v>
      </c>
      <c r="W39">
        <v>869</v>
      </c>
      <c r="X39">
        <v>145</v>
      </c>
      <c r="Y39">
        <v>2982</v>
      </c>
      <c r="Z39">
        <v>71</v>
      </c>
      <c r="AA39">
        <v>3053</v>
      </c>
    </row>
    <row r="40" spans="1:27" x14ac:dyDescent="0.3">
      <c r="A40">
        <v>4</v>
      </c>
      <c r="B40" t="s">
        <v>50</v>
      </c>
      <c r="C40">
        <v>2026</v>
      </c>
      <c r="D40">
        <v>3</v>
      </c>
      <c r="E40" t="s">
        <v>29</v>
      </c>
      <c r="F40">
        <v>155302</v>
      </c>
      <c r="G40">
        <v>0.92290000000000005</v>
      </c>
      <c r="H40">
        <v>69.3</v>
      </c>
      <c r="I40">
        <v>0.9234</v>
      </c>
      <c r="J40">
        <v>538024</v>
      </c>
      <c r="K40">
        <v>0.78149999999999997</v>
      </c>
      <c r="L40">
        <v>0.62209999999999999</v>
      </c>
      <c r="M40">
        <v>193</v>
      </c>
      <c r="N40">
        <v>8735</v>
      </c>
      <c r="O40">
        <v>4766</v>
      </c>
      <c r="P40">
        <v>6277</v>
      </c>
      <c r="Q40">
        <v>22399</v>
      </c>
      <c r="R40">
        <v>1913</v>
      </c>
      <c r="S40">
        <v>31</v>
      </c>
      <c r="T40">
        <v>1251</v>
      </c>
      <c r="U40">
        <v>33959</v>
      </c>
      <c r="V40">
        <v>2216</v>
      </c>
      <c r="W40">
        <v>390</v>
      </c>
      <c r="X40">
        <v>137</v>
      </c>
      <c r="Y40">
        <v>1653</v>
      </c>
      <c r="Z40">
        <v>101</v>
      </c>
      <c r="AA40">
        <v>1754</v>
      </c>
    </row>
    <row r="41" spans="1:27" x14ac:dyDescent="0.3">
      <c r="A41">
        <v>4</v>
      </c>
      <c r="B41" t="s">
        <v>50</v>
      </c>
      <c r="C41">
        <v>2026</v>
      </c>
      <c r="D41">
        <v>4</v>
      </c>
      <c r="E41" t="s">
        <v>30</v>
      </c>
      <c r="F41">
        <v>1186421</v>
      </c>
      <c r="G41">
        <v>0.97419999999999995</v>
      </c>
      <c r="H41">
        <v>20.5</v>
      </c>
      <c r="I41">
        <v>0.85629999999999995</v>
      </c>
      <c r="J41">
        <v>1574975</v>
      </c>
      <c r="K41">
        <v>0.4466</v>
      </c>
      <c r="L41">
        <v>0.72609999999999997</v>
      </c>
      <c r="M41">
        <v>57</v>
      </c>
      <c r="N41">
        <v>6889</v>
      </c>
      <c r="O41">
        <v>13832</v>
      </c>
      <c r="P41">
        <v>2148</v>
      </c>
      <c r="Q41">
        <v>21988</v>
      </c>
      <c r="R41">
        <v>517</v>
      </c>
      <c r="S41">
        <v>5</v>
      </c>
      <c r="T41">
        <v>1028</v>
      </c>
      <c r="U41">
        <v>3400</v>
      </c>
      <c r="V41">
        <v>1691</v>
      </c>
      <c r="W41">
        <v>138</v>
      </c>
      <c r="X41">
        <v>36</v>
      </c>
      <c r="Y41">
        <v>2631</v>
      </c>
      <c r="Z41">
        <v>154</v>
      </c>
      <c r="AA41">
        <v>2785</v>
      </c>
    </row>
    <row r="42" spans="1:27" x14ac:dyDescent="0.3">
      <c r="A42">
        <v>4</v>
      </c>
      <c r="B42" t="s">
        <v>50</v>
      </c>
      <c r="C42">
        <v>2026</v>
      </c>
      <c r="D42">
        <v>5</v>
      </c>
      <c r="E42" t="s">
        <v>31</v>
      </c>
      <c r="F42">
        <v>191992</v>
      </c>
      <c r="G42">
        <v>0.87690000000000001</v>
      </c>
      <c r="H42">
        <v>11.1</v>
      </c>
      <c r="I42">
        <v>0.96860000000000002</v>
      </c>
      <c r="J42">
        <v>1223403</v>
      </c>
      <c r="K42">
        <v>0.38900000000000001</v>
      </c>
      <c r="L42">
        <v>0.80549999999999999</v>
      </c>
      <c r="M42">
        <v>92</v>
      </c>
      <c r="N42">
        <v>6190</v>
      </c>
      <c r="O42">
        <v>11196</v>
      </c>
      <c r="P42">
        <v>6419</v>
      </c>
      <c r="Q42">
        <v>43250</v>
      </c>
      <c r="R42">
        <v>1293</v>
      </c>
      <c r="S42">
        <v>78</v>
      </c>
      <c r="T42">
        <v>836</v>
      </c>
      <c r="U42">
        <v>22955</v>
      </c>
      <c r="V42">
        <v>4264</v>
      </c>
      <c r="W42">
        <v>211</v>
      </c>
      <c r="X42">
        <v>192</v>
      </c>
      <c r="Y42">
        <v>1609</v>
      </c>
      <c r="Z42">
        <v>56</v>
      </c>
      <c r="AA42">
        <v>1665</v>
      </c>
    </row>
    <row r="43" spans="1:27" x14ac:dyDescent="0.3">
      <c r="A43">
        <v>4</v>
      </c>
      <c r="B43" t="s">
        <v>50</v>
      </c>
      <c r="C43">
        <v>2026</v>
      </c>
      <c r="D43">
        <v>6</v>
      </c>
      <c r="E43" t="s">
        <v>32</v>
      </c>
      <c r="F43">
        <v>1144335</v>
      </c>
      <c r="G43">
        <v>0.97270000000000001</v>
      </c>
      <c r="H43">
        <v>67.599999999999994</v>
      </c>
      <c r="I43">
        <v>0.95669999999999999</v>
      </c>
      <c r="J43">
        <v>428192</v>
      </c>
      <c r="K43">
        <v>0.39850000000000002</v>
      </c>
      <c r="L43">
        <v>0.9163</v>
      </c>
      <c r="M43">
        <v>200</v>
      </c>
      <c r="N43">
        <v>3362</v>
      </c>
      <c r="O43">
        <v>10663</v>
      </c>
      <c r="P43">
        <v>6433</v>
      </c>
      <c r="Q43">
        <v>23487</v>
      </c>
      <c r="R43">
        <v>1564</v>
      </c>
      <c r="S43">
        <v>40</v>
      </c>
      <c r="T43">
        <v>1302</v>
      </c>
      <c r="U43">
        <v>28613</v>
      </c>
      <c r="V43">
        <v>913</v>
      </c>
      <c r="W43">
        <v>718</v>
      </c>
      <c r="X43">
        <v>87</v>
      </c>
      <c r="Y43">
        <v>1320</v>
      </c>
      <c r="Z43">
        <v>91</v>
      </c>
      <c r="AA43">
        <v>1411</v>
      </c>
    </row>
    <row r="44" spans="1:27" x14ac:dyDescent="0.3">
      <c r="A44">
        <v>4</v>
      </c>
      <c r="B44" t="s">
        <v>50</v>
      </c>
      <c r="C44">
        <v>2026</v>
      </c>
      <c r="D44">
        <v>7</v>
      </c>
      <c r="E44" t="s">
        <v>33</v>
      </c>
      <c r="F44">
        <v>625535</v>
      </c>
      <c r="G44">
        <v>0.95440000000000003</v>
      </c>
      <c r="H44">
        <v>94.1</v>
      </c>
      <c r="I44">
        <v>0.86619999999999997</v>
      </c>
      <c r="J44">
        <v>1733048</v>
      </c>
      <c r="K44">
        <v>0.2366</v>
      </c>
      <c r="L44">
        <v>0.83750000000000002</v>
      </c>
      <c r="M44">
        <v>116</v>
      </c>
      <c r="N44">
        <v>3781</v>
      </c>
      <c r="O44">
        <v>8840</v>
      </c>
      <c r="P44">
        <v>6556</v>
      </c>
      <c r="Q44">
        <v>3715</v>
      </c>
      <c r="R44">
        <v>1918</v>
      </c>
      <c r="S44">
        <v>30</v>
      </c>
      <c r="T44">
        <v>1268</v>
      </c>
      <c r="U44">
        <v>13148</v>
      </c>
      <c r="V44">
        <v>4890</v>
      </c>
      <c r="W44">
        <v>535</v>
      </c>
      <c r="X44">
        <v>385</v>
      </c>
      <c r="Y44">
        <v>1851</v>
      </c>
      <c r="Z44">
        <v>56</v>
      </c>
      <c r="AA44">
        <v>1907</v>
      </c>
    </row>
    <row r="45" spans="1:27" x14ac:dyDescent="0.3">
      <c r="A45">
        <v>4</v>
      </c>
      <c r="B45" t="s">
        <v>50</v>
      </c>
      <c r="C45">
        <v>2026</v>
      </c>
      <c r="D45">
        <v>8</v>
      </c>
      <c r="E45" t="s">
        <v>34</v>
      </c>
      <c r="F45">
        <v>665163</v>
      </c>
      <c r="G45">
        <v>0.93669999999999998</v>
      </c>
      <c r="H45">
        <v>85.8</v>
      </c>
      <c r="I45">
        <v>0.91190000000000004</v>
      </c>
      <c r="J45">
        <v>1460940</v>
      </c>
      <c r="K45">
        <v>0.22259999999999999</v>
      </c>
      <c r="L45">
        <v>0.98080000000000001</v>
      </c>
      <c r="M45">
        <v>80</v>
      </c>
      <c r="N45">
        <v>1594</v>
      </c>
      <c r="O45">
        <v>13738</v>
      </c>
      <c r="P45">
        <v>15661</v>
      </c>
      <c r="Q45">
        <v>25191</v>
      </c>
      <c r="R45">
        <v>501</v>
      </c>
      <c r="S45">
        <v>72</v>
      </c>
      <c r="T45">
        <v>1287</v>
      </c>
      <c r="U45">
        <v>17676</v>
      </c>
      <c r="V45">
        <v>4444</v>
      </c>
      <c r="W45">
        <v>429</v>
      </c>
      <c r="X45">
        <v>419</v>
      </c>
      <c r="Y45">
        <v>1904</v>
      </c>
      <c r="Z45">
        <v>165</v>
      </c>
      <c r="AA45">
        <v>2069</v>
      </c>
    </row>
    <row r="46" spans="1:27" x14ac:dyDescent="0.3">
      <c r="A46">
        <v>4</v>
      </c>
      <c r="B46" t="s">
        <v>50</v>
      </c>
      <c r="C46">
        <v>2026</v>
      </c>
      <c r="D46">
        <v>9</v>
      </c>
      <c r="E46" t="s">
        <v>35</v>
      </c>
      <c r="F46">
        <v>69449</v>
      </c>
      <c r="G46">
        <v>0.89119999999999999</v>
      </c>
      <c r="H46">
        <v>40.4</v>
      </c>
      <c r="I46">
        <v>0.85809999999999997</v>
      </c>
      <c r="J46">
        <v>452917</v>
      </c>
      <c r="K46">
        <v>0.88939999999999997</v>
      </c>
      <c r="L46">
        <v>0.95850000000000002</v>
      </c>
      <c r="M46">
        <v>100</v>
      </c>
      <c r="N46">
        <v>5809</v>
      </c>
      <c r="O46">
        <v>7731</v>
      </c>
      <c r="P46">
        <v>5257</v>
      </c>
      <c r="Q46">
        <v>16560</v>
      </c>
      <c r="R46">
        <v>1994</v>
      </c>
      <c r="S46">
        <v>6</v>
      </c>
      <c r="T46">
        <v>575</v>
      </c>
      <c r="U46">
        <v>23675</v>
      </c>
      <c r="V46">
        <v>1040</v>
      </c>
      <c r="W46">
        <v>207</v>
      </c>
      <c r="X46">
        <v>104</v>
      </c>
      <c r="Y46">
        <v>1578</v>
      </c>
      <c r="Z46">
        <v>33</v>
      </c>
      <c r="AA46">
        <v>1611</v>
      </c>
    </row>
    <row r="47" spans="1:27" x14ac:dyDescent="0.3">
      <c r="A47">
        <v>4</v>
      </c>
      <c r="B47" t="s">
        <v>50</v>
      </c>
      <c r="C47">
        <v>2026</v>
      </c>
      <c r="D47">
        <v>10</v>
      </c>
      <c r="E47" t="s">
        <v>40</v>
      </c>
      <c r="F47">
        <v>451085</v>
      </c>
      <c r="G47">
        <v>0.8962</v>
      </c>
      <c r="H47">
        <v>85.9</v>
      </c>
      <c r="I47">
        <v>0.87019999999999997</v>
      </c>
      <c r="J47">
        <v>1121433</v>
      </c>
      <c r="K47">
        <v>0.82979999999999998</v>
      </c>
      <c r="L47">
        <v>0.9556</v>
      </c>
      <c r="M47">
        <v>34</v>
      </c>
      <c r="N47">
        <v>5239</v>
      </c>
      <c r="O47">
        <v>12185</v>
      </c>
      <c r="P47">
        <v>15415</v>
      </c>
      <c r="Q47">
        <v>17458</v>
      </c>
      <c r="R47">
        <v>1626</v>
      </c>
      <c r="S47">
        <v>82</v>
      </c>
      <c r="T47">
        <v>784</v>
      </c>
      <c r="U47">
        <v>21146</v>
      </c>
      <c r="V47">
        <v>2257</v>
      </c>
      <c r="W47">
        <v>697</v>
      </c>
      <c r="X47">
        <v>436</v>
      </c>
      <c r="Y47">
        <v>2487</v>
      </c>
      <c r="Z47">
        <v>120</v>
      </c>
      <c r="AA47">
        <v>2607</v>
      </c>
    </row>
    <row r="48" spans="1:27" x14ac:dyDescent="0.3">
      <c r="A48">
        <v>4</v>
      </c>
      <c r="B48" t="s">
        <v>50</v>
      </c>
      <c r="C48">
        <v>2026</v>
      </c>
      <c r="D48">
        <v>11</v>
      </c>
      <c r="E48" t="s">
        <v>41</v>
      </c>
      <c r="F48">
        <v>78742</v>
      </c>
      <c r="G48">
        <v>0.86319999999999997</v>
      </c>
      <c r="H48">
        <v>86.1</v>
      </c>
      <c r="I48">
        <v>0.87649999999999995</v>
      </c>
      <c r="J48">
        <v>1703431</v>
      </c>
      <c r="K48">
        <v>0.91339999999999999</v>
      </c>
      <c r="L48">
        <v>0.68600000000000005</v>
      </c>
      <c r="M48">
        <v>47</v>
      </c>
      <c r="N48">
        <v>8832</v>
      </c>
      <c r="O48">
        <v>13721</v>
      </c>
      <c r="P48">
        <v>8750</v>
      </c>
      <c r="Q48">
        <v>12820</v>
      </c>
      <c r="R48">
        <v>1299</v>
      </c>
      <c r="S48">
        <v>88</v>
      </c>
      <c r="T48">
        <v>765</v>
      </c>
      <c r="U48">
        <v>39892</v>
      </c>
      <c r="V48">
        <v>1037</v>
      </c>
      <c r="W48">
        <v>265</v>
      </c>
      <c r="X48">
        <v>383</v>
      </c>
      <c r="Y48">
        <v>615</v>
      </c>
      <c r="Z48">
        <v>196</v>
      </c>
      <c r="AA48">
        <v>811</v>
      </c>
    </row>
    <row r="49" spans="1:27" x14ac:dyDescent="0.3">
      <c r="A49">
        <v>4</v>
      </c>
      <c r="B49" t="s">
        <v>50</v>
      </c>
      <c r="C49">
        <v>2026</v>
      </c>
      <c r="D49">
        <v>12</v>
      </c>
      <c r="E49" t="s">
        <v>42</v>
      </c>
      <c r="F49">
        <v>1240369</v>
      </c>
      <c r="G49">
        <v>0.98099999999999998</v>
      </c>
      <c r="H49">
        <v>29.7</v>
      </c>
      <c r="I49">
        <v>0.8538</v>
      </c>
      <c r="J49">
        <v>958563</v>
      </c>
      <c r="K49">
        <v>0.48349999999999999</v>
      </c>
      <c r="L49">
        <v>0.6895</v>
      </c>
      <c r="M49">
        <v>116</v>
      </c>
      <c r="N49">
        <v>7092</v>
      </c>
      <c r="O49">
        <v>7733</v>
      </c>
      <c r="P49">
        <v>10079</v>
      </c>
      <c r="Q49">
        <v>11261</v>
      </c>
      <c r="R49">
        <v>183</v>
      </c>
      <c r="S49">
        <v>77</v>
      </c>
      <c r="T49">
        <v>103</v>
      </c>
      <c r="U49">
        <v>28489</v>
      </c>
      <c r="V49">
        <v>1308</v>
      </c>
      <c r="W49">
        <v>905</v>
      </c>
      <c r="X49">
        <v>158</v>
      </c>
      <c r="Y49">
        <v>1695</v>
      </c>
      <c r="Z49">
        <v>80</v>
      </c>
      <c r="AA49">
        <v>1775</v>
      </c>
    </row>
    <row r="50" spans="1:27" x14ac:dyDescent="0.3">
      <c r="A50">
        <v>5</v>
      </c>
      <c r="B50" t="s">
        <v>36</v>
      </c>
      <c r="C50">
        <v>2026</v>
      </c>
      <c r="D50">
        <v>1</v>
      </c>
      <c r="E50" t="s">
        <v>27</v>
      </c>
      <c r="F50">
        <v>449402</v>
      </c>
      <c r="G50">
        <v>0.85429999999999995</v>
      </c>
      <c r="H50">
        <v>9.1999999999999993</v>
      </c>
      <c r="I50">
        <v>0.98060000000000003</v>
      </c>
      <c r="J50">
        <v>1541995</v>
      </c>
      <c r="K50">
        <v>0.6603</v>
      </c>
      <c r="L50">
        <v>0.94289999999999996</v>
      </c>
      <c r="M50">
        <v>162</v>
      </c>
      <c r="N50">
        <v>8178</v>
      </c>
      <c r="O50">
        <v>969</v>
      </c>
      <c r="P50">
        <v>8947</v>
      </c>
      <c r="Q50">
        <v>8718</v>
      </c>
      <c r="R50">
        <v>293</v>
      </c>
      <c r="S50">
        <v>88</v>
      </c>
      <c r="T50">
        <v>819</v>
      </c>
      <c r="U50">
        <v>48591</v>
      </c>
      <c r="V50">
        <v>1699</v>
      </c>
      <c r="W50">
        <v>970</v>
      </c>
      <c r="X50">
        <v>416</v>
      </c>
      <c r="Y50">
        <v>699</v>
      </c>
      <c r="Z50">
        <v>90</v>
      </c>
      <c r="AA50">
        <v>789</v>
      </c>
    </row>
    <row r="51" spans="1:27" x14ac:dyDescent="0.3">
      <c r="A51">
        <v>5</v>
      </c>
      <c r="B51" t="s">
        <v>36</v>
      </c>
      <c r="C51">
        <v>2026</v>
      </c>
      <c r="D51">
        <v>2</v>
      </c>
      <c r="E51" t="s">
        <v>28</v>
      </c>
      <c r="F51">
        <v>441217</v>
      </c>
      <c r="G51">
        <v>0.96589999999999998</v>
      </c>
      <c r="H51">
        <v>8.4</v>
      </c>
      <c r="I51">
        <v>0.96220000000000006</v>
      </c>
      <c r="J51">
        <v>1459107</v>
      </c>
      <c r="K51">
        <v>0.43690000000000001</v>
      </c>
      <c r="L51">
        <v>0.98440000000000005</v>
      </c>
      <c r="M51">
        <v>35</v>
      </c>
      <c r="N51">
        <v>2019</v>
      </c>
      <c r="O51">
        <v>14662</v>
      </c>
      <c r="P51">
        <v>6266</v>
      </c>
      <c r="Q51">
        <v>21345</v>
      </c>
      <c r="R51">
        <v>374</v>
      </c>
      <c r="S51">
        <v>5</v>
      </c>
      <c r="T51">
        <v>1003</v>
      </c>
      <c r="U51">
        <v>38486</v>
      </c>
      <c r="V51">
        <v>3232</v>
      </c>
      <c r="W51">
        <v>186</v>
      </c>
      <c r="X51">
        <v>225</v>
      </c>
      <c r="Y51">
        <v>975</v>
      </c>
      <c r="Z51">
        <v>32</v>
      </c>
      <c r="AA51">
        <v>1007</v>
      </c>
    </row>
    <row r="52" spans="1:27" x14ac:dyDescent="0.3">
      <c r="A52">
        <v>5</v>
      </c>
      <c r="B52" t="s">
        <v>36</v>
      </c>
      <c r="C52">
        <v>2026</v>
      </c>
      <c r="D52">
        <v>3</v>
      </c>
      <c r="E52" t="s">
        <v>29</v>
      </c>
      <c r="F52">
        <v>819445</v>
      </c>
      <c r="G52">
        <v>0.90469999999999995</v>
      </c>
      <c r="H52">
        <v>30.5</v>
      </c>
      <c r="I52">
        <v>0.96789999999999998</v>
      </c>
      <c r="J52">
        <v>1325617</v>
      </c>
      <c r="K52">
        <v>0.52449999999999997</v>
      </c>
      <c r="L52">
        <v>0.67559999999999998</v>
      </c>
      <c r="M52">
        <v>111</v>
      </c>
      <c r="N52">
        <v>8970</v>
      </c>
      <c r="O52">
        <v>725</v>
      </c>
      <c r="P52">
        <v>13558</v>
      </c>
      <c r="Q52">
        <v>29832</v>
      </c>
      <c r="R52">
        <v>1586</v>
      </c>
      <c r="S52">
        <v>63</v>
      </c>
      <c r="T52">
        <v>1354</v>
      </c>
      <c r="U52">
        <v>34332</v>
      </c>
      <c r="V52">
        <v>3060</v>
      </c>
      <c r="W52">
        <v>651</v>
      </c>
      <c r="X52">
        <v>125</v>
      </c>
      <c r="Y52">
        <v>2646</v>
      </c>
      <c r="Z52">
        <v>34</v>
      </c>
      <c r="AA52">
        <v>2680</v>
      </c>
    </row>
    <row r="53" spans="1:27" x14ac:dyDescent="0.3">
      <c r="A53">
        <v>5</v>
      </c>
      <c r="B53" t="s">
        <v>36</v>
      </c>
      <c r="C53">
        <v>2026</v>
      </c>
      <c r="D53">
        <v>4</v>
      </c>
      <c r="E53" t="s">
        <v>30</v>
      </c>
      <c r="F53">
        <v>1088824</v>
      </c>
      <c r="G53">
        <v>0.8891</v>
      </c>
      <c r="H53">
        <v>47.1</v>
      </c>
      <c r="I53">
        <v>0.96830000000000005</v>
      </c>
      <c r="J53">
        <v>1383932</v>
      </c>
      <c r="K53">
        <v>0.38969999999999999</v>
      </c>
      <c r="L53">
        <v>0.70689999999999997</v>
      </c>
      <c r="M53">
        <v>182</v>
      </c>
      <c r="N53">
        <v>6220</v>
      </c>
      <c r="O53">
        <v>11723</v>
      </c>
      <c r="P53">
        <v>15871</v>
      </c>
      <c r="Q53">
        <v>44711</v>
      </c>
      <c r="R53">
        <v>1391</v>
      </c>
      <c r="S53">
        <v>49</v>
      </c>
      <c r="T53">
        <v>298</v>
      </c>
      <c r="U53">
        <v>31647</v>
      </c>
      <c r="V53">
        <v>4152</v>
      </c>
      <c r="W53">
        <v>853</v>
      </c>
      <c r="X53">
        <v>39</v>
      </c>
      <c r="Y53">
        <v>1043</v>
      </c>
      <c r="Z53">
        <v>64</v>
      </c>
      <c r="AA53">
        <v>1107</v>
      </c>
    </row>
    <row r="54" spans="1:27" x14ac:dyDescent="0.3">
      <c r="A54">
        <v>5</v>
      </c>
      <c r="B54" t="s">
        <v>36</v>
      </c>
      <c r="C54">
        <v>2026</v>
      </c>
      <c r="D54">
        <v>5</v>
      </c>
      <c r="E54" t="s">
        <v>31</v>
      </c>
      <c r="F54">
        <v>1127190</v>
      </c>
      <c r="G54">
        <v>0.88690000000000002</v>
      </c>
      <c r="H54">
        <v>28</v>
      </c>
      <c r="I54">
        <v>0.9103</v>
      </c>
      <c r="J54">
        <v>317783</v>
      </c>
      <c r="K54">
        <v>0.56540000000000001</v>
      </c>
      <c r="L54">
        <v>0.53159999999999996</v>
      </c>
      <c r="M54">
        <v>156</v>
      </c>
      <c r="N54">
        <v>8665</v>
      </c>
      <c r="O54">
        <v>7635</v>
      </c>
      <c r="P54">
        <v>9056</v>
      </c>
      <c r="Q54">
        <v>3710</v>
      </c>
      <c r="R54">
        <v>1437</v>
      </c>
      <c r="S54">
        <v>51</v>
      </c>
      <c r="T54">
        <v>671</v>
      </c>
      <c r="U54">
        <v>29688</v>
      </c>
      <c r="V54">
        <v>976</v>
      </c>
      <c r="W54">
        <v>937</v>
      </c>
      <c r="X54">
        <v>493</v>
      </c>
      <c r="Y54">
        <v>2884</v>
      </c>
      <c r="Z54">
        <v>159</v>
      </c>
      <c r="AA54">
        <v>3043</v>
      </c>
    </row>
    <row r="55" spans="1:27" x14ac:dyDescent="0.3">
      <c r="A55">
        <v>5</v>
      </c>
      <c r="B55" t="s">
        <v>36</v>
      </c>
      <c r="C55">
        <v>2026</v>
      </c>
      <c r="D55">
        <v>6</v>
      </c>
      <c r="E55" t="s">
        <v>32</v>
      </c>
      <c r="F55">
        <v>1235964</v>
      </c>
      <c r="G55">
        <v>0.90510000000000002</v>
      </c>
      <c r="H55">
        <v>98.3</v>
      </c>
      <c r="I55">
        <v>0.92510000000000003</v>
      </c>
      <c r="J55">
        <v>291919</v>
      </c>
      <c r="K55">
        <v>0.3538</v>
      </c>
      <c r="L55">
        <v>0.50270000000000004</v>
      </c>
      <c r="M55">
        <v>89</v>
      </c>
      <c r="N55">
        <v>1062</v>
      </c>
      <c r="O55">
        <v>10801</v>
      </c>
      <c r="P55">
        <v>17266</v>
      </c>
      <c r="Q55">
        <v>14023</v>
      </c>
      <c r="R55">
        <v>1272</v>
      </c>
      <c r="S55">
        <v>97</v>
      </c>
      <c r="T55">
        <v>222</v>
      </c>
      <c r="U55">
        <v>21532</v>
      </c>
      <c r="V55">
        <v>3224</v>
      </c>
      <c r="W55">
        <v>378</v>
      </c>
      <c r="X55">
        <v>276</v>
      </c>
      <c r="Y55">
        <v>2270</v>
      </c>
      <c r="Z55">
        <v>181</v>
      </c>
      <c r="AA55">
        <v>2451</v>
      </c>
    </row>
    <row r="56" spans="1:27" x14ac:dyDescent="0.3">
      <c r="A56">
        <v>5</v>
      </c>
      <c r="B56" t="s">
        <v>36</v>
      </c>
      <c r="C56">
        <v>2026</v>
      </c>
      <c r="D56">
        <v>7</v>
      </c>
      <c r="E56" t="s">
        <v>33</v>
      </c>
      <c r="F56">
        <v>1242612</v>
      </c>
      <c r="G56">
        <v>0.95760000000000001</v>
      </c>
      <c r="H56">
        <v>59.4</v>
      </c>
      <c r="I56">
        <v>0.93610000000000004</v>
      </c>
      <c r="J56">
        <v>1110839</v>
      </c>
      <c r="K56">
        <v>0.3417</v>
      </c>
      <c r="L56">
        <v>0.97550000000000003</v>
      </c>
      <c r="M56">
        <v>35</v>
      </c>
      <c r="N56">
        <v>4340</v>
      </c>
      <c r="O56">
        <v>5191</v>
      </c>
      <c r="P56">
        <v>17085</v>
      </c>
      <c r="Q56">
        <v>48684</v>
      </c>
      <c r="R56">
        <v>540</v>
      </c>
      <c r="S56">
        <v>100</v>
      </c>
      <c r="T56">
        <v>1460</v>
      </c>
      <c r="U56">
        <v>21657</v>
      </c>
      <c r="V56">
        <v>1877</v>
      </c>
      <c r="W56">
        <v>841</v>
      </c>
      <c r="X56">
        <v>306</v>
      </c>
      <c r="Y56">
        <v>2873</v>
      </c>
      <c r="Z56">
        <v>180</v>
      </c>
      <c r="AA56">
        <v>3053</v>
      </c>
    </row>
    <row r="57" spans="1:27" x14ac:dyDescent="0.3">
      <c r="A57">
        <v>5</v>
      </c>
      <c r="B57" t="s">
        <v>36</v>
      </c>
      <c r="C57">
        <v>2026</v>
      </c>
      <c r="D57">
        <v>8</v>
      </c>
      <c r="E57" t="s">
        <v>34</v>
      </c>
      <c r="F57">
        <v>590667</v>
      </c>
      <c r="G57">
        <v>0.94220000000000004</v>
      </c>
      <c r="H57">
        <v>96.8</v>
      </c>
      <c r="I57">
        <v>0.89459999999999995</v>
      </c>
      <c r="J57">
        <v>414386</v>
      </c>
      <c r="K57">
        <v>0.81179999999999997</v>
      </c>
      <c r="L57">
        <v>0.58830000000000005</v>
      </c>
      <c r="M57">
        <v>131</v>
      </c>
      <c r="N57">
        <v>5992</v>
      </c>
      <c r="O57">
        <v>11157</v>
      </c>
      <c r="P57">
        <v>3312</v>
      </c>
      <c r="Q57">
        <v>8877</v>
      </c>
      <c r="R57">
        <v>246</v>
      </c>
      <c r="S57">
        <v>10</v>
      </c>
      <c r="T57">
        <v>1357</v>
      </c>
      <c r="U57">
        <v>8872</v>
      </c>
      <c r="V57">
        <v>1396</v>
      </c>
      <c r="W57">
        <v>335</v>
      </c>
      <c r="X57">
        <v>130</v>
      </c>
      <c r="Y57">
        <v>2164</v>
      </c>
      <c r="Z57">
        <v>108</v>
      </c>
      <c r="AA57">
        <v>2272</v>
      </c>
    </row>
    <row r="58" spans="1:27" x14ac:dyDescent="0.3">
      <c r="A58">
        <v>5</v>
      </c>
      <c r="B58" t="s">
        <v>36</v>
      </c>
      <c r="C58">
        <v>2026</v>
      </c>
      <c r="D58">
        <v>9</v>
      </c>
      <c r="E58" t="s">
        <v>35</v>
      </c>
      <c r="F58">
        <v>365221</v>
      </c>
      <c r="G58">
        <v>0.93789999999999996</v>
      </c>
      <c r="H58">
        <v>22.4</v>
      </c>
      <c r="I58">
        <v>0.92030000000000001</v>
      </c>
      <c r="J58">
        <v>1812122</v>
      </c>
      <c r="K58">
        <v>0.31540000000000001</v>
      </c>
      <c r="L58">
        <v>0.77980000000000005</v>
      </c>
      <c r="M58">
        <v>137</v>
      </c>
      <c r="N58">
        <v>7257</v>
      </c>
      <c r="O58">
        <v>6532</v>
      </c>
      <c r="P58">
        <v>6088</v>
      </c>
      <c r="Q58">
        <v>25220</v>
      </c>
      <c r="R58">
        <v>883</v>
      </c>
      <c r="S58">
        <v>81</v>
      </c>
      <c r="T58">
        <v>1400</v>
      </c>
      <c r="U58">
        <v>22586</v>
      </c>
      <c r="V58">
        <v>1159</v>
      </c>
      <c r="W58">
        <v>212</v>
      </c>
      <c r="X58">
        <v>436</v>
      </c>
      <c r="Y58">
        <v>1326</v>
      </c>
      <c r="Z58">
        <v>164</v>
      </c>
      <c r="AA58">
        <v>1490</v>
      </c>
    </row>
    <row r="59" spans="1:27" x14ac:dyDescent="0.3">
      <c r="A59">
        <v>5</v>
      </c>
      <c r="B59" t="s">
        <v>36</v>
      </c>
      <c r="C59">
        <v>2026</v>
      </c>
      <c r="D59">
        <v>10</v>
      </c>
      <c r="E59" t="s">
        <v>40</v>
      </c>
      <c r="F59">
        <v>990654</v>
      </c>
      <c r="G59">
        <v>0.85960000000000003</v>
      </c>
      <c r="H59">
        <v>19.8</v>
      </c>
      <c r="I59">
        <v>0.97799999999999998</v>
      </c>
      <c r="J59">
        <v>87813</v>
      </c>
      <c r="K59">
        <v>0.69630000000000003</v>
      </c>
      <c r="L59">
        <v>0.91169999999999995</v>
      </c>
      <c r="M59">
        <v>11</v>
      </c>
      <c r="N59">
        <v>7794</v>
      </c>
      <c r="O59">
        <v>5936</v>
      </c>
      <c r="P59">
        <v>18102</v>
      </c>
      <c r="Q59">
        <v>37755</v>
      </c>
      <c r="R59">
        <v>1833</v>
      </c>
      <c r="S59">
        <v>75</v>
      </c>
      <c r="T59">
        <v>1301</v>
      </c>
      <c r="U59">
        <v>21606</v>
      </c>
      <c r="V59">
        <v>2940</v>
      </c>
      <c r="W59">
        <v>501</v>
      </c>
      <c r="X59">
        <v>222</v>
      </c>
      <c r="Y59">
        <v>2046</v>
      </c>
      <c r="Z59">
        <v>121</v>
      </c>
      <c r="AA59">
        <v>2167</v>
      </c>
    </row>
    <row r="60" spans="1:27" x14ac:dyDescent="0.3">
      <c r="A60">
        <v>5</v>
      </c>
      <c r="B60" t="s">
        <v>36</v>
      </c>
      <c r="C60">
        <v>2026</v>
      </c>
      <c r="D60">
        <v>11</v>
      </c>
      <c r="E60" t="s">
        <v>41</v>
      </c>
      <c r="F60">
        <v>1473641</v>
      </c>
      <c r="G60">
        <v>0.87290000000000001</v>
      </c>
      <c r="H60">
        <v>90.3</v>
      </c>
      <c r="I60">
        <v>0.85419999999999996</v>
      </c>
      <c r="J60">
        <v>1856366</v>
      </c>
      <c r="K60">
        <v>0.96899999999999997</v>
      </c>
      <c r="L60">
        <v>0.66010000000000002</v>
      </c>
      <c r="M60">
        <v>156</v>
      </c>
      <c r="N60">
        <v>2313</v>
      </c>
      <c r="O60">
        <v>5047</v>
      </c>
      <c r="P60">
        <v>5697</v>
      </c>
      <c r="Q60">
        <v>1594</v>
      </c>
      <c r="R60">
        <v>645</v>
      </c>
      <c r="S60">
        <v>9</v>
      </c>
      <c r="T60">
        <v>720</v>
      </c>
      <c r="U60">
        <v>26900</v>
      </c>
      <c r="V60">
        <v>3307</v>
      </c>
      <c r="W60">
        <v>724</v>
      </c>
      <c r="X60">
        <v>177</v>
      </c>
      <c r="Y60">
        <v>1193</v>
      </c>
      <c r="Z60">
        <v>116</v>
      </c>
      <c r="AA60">
        <v>1309</v>
      </c>
    </row>
    <row r="61" spans="1:27" x14ac:dyDescent="0.3">
      <c r="A61">
        <v>5</v>
      </c>
      <c r="B61" t="s">
        <v>36</v>
      </c>
      <c r="C61">
        <v>2026</v>
      </c>
      <c r="D61">
        <v>12</v>
      </c>
      <c r="E61" t="s">
        <v>42</v>
      </c>
      <c r="F61">
        <v>825267</v>
      </c>
      <c r="G61">
        <v>0.94969999999999999</v>
      </c>
      <c r="H61">
        <v>39.4</v>
      </c>
      <c r="I61">
        <v>0.95409999999999995</v>
      </c>
      <c r="J61">
        <v>1911506</v>
      </c>
      <c r="K61">
        <v>0.88100000000000001</v>
      </c>
      <c r="L61">
        <v>0.747</v>
      </c>
      <c r="M61">
        <v>121</v>
      </c>
      <c r="N61">
        <v>1461</v>
      </c>
      <c r="O61">
        <v>12625</v>
      </c>
      <c r="P61">
        <v>14339</v>
      </c>
      <c r="Q61">
        <v>39246</v>
      </c>
      <c r="R61">
        <v>1940</v>
      </c>
      <c r="S61">
        <v>79</v>
      </c>
      <c r="T61">
        <v>706</v>
      </c>
      <c r="U61">
        <v>10672</v>
      </c>
      <c r="V61">
        <v>624</v>
      </c>
      <c r="W61">
        <v>349</v>
      </c>
      <c r="X61">
        <v>263</v>
      </c>
      <c r="Y61">
        <v>1745</v>
      </c>
      <c r="Z61">
        <v>144</v>
      </c>
      <c r="AA61">
        <v>1889</v>
      </c>
    </row>
    <row r="62" spans="1:27" x14ac:dyDescent="0.3">
      <c r="A62">
        <v>6</v>
      </c>
      <c r="B62" t="s">
        <v>51</v>
      </c>
      <c r="C62">
        <v>2026</v>
      </c>
      <c r="D62">
        <v>1</v>
      </c>
      <c r="E62" t="s">
        <v>27</v>
      </c>
      <c r="F62">
        <v>344073</v>
      </c>
      <c r="G62">
        <v>0.87190000000000001</v>
      </c>
      <c r="H62">
        <v>62.2</v>
      </c>
      <c r="I62">
        <v>0.91779999999999995</v>
      </c>
      <c r="J62">
        <v>1874760</v>
      </c>
      <c r="K62">
        <v>0.54200000000000004</v>
      </c>
      <c r="L62">
        <v>0.93969999999999998</v>
      </c>
      <c r="M62">
        <v>166</v>
      </c>
      <c r="N62">
        <v>8596</v>
      </c>
      <c r="O62">
        <v>4413</v>
      </c>
      <c r="P62">
        <v>3925</v>
      </c>
      <c r="Q62">
        <v>32676</v>
      </c>
      <c r="R62">
        <v>1445</v>
      </c>
      <c r="S62">
        <v>70</v>
      </c>
      <c r="T62">
        <v>993</v>
      </c>
      <c r="U62">
        <v>13261</v>
      </c>
      <c r="V62">
        <v>4411</v>
      </c>
      <c r="W62">
        <v>650</v>
      </c>
      <c r="X62">
        <v>146</v>
      </c>
      <c r="Y62">
        <v>1322</v>
      </c>
      <c r="Z62">
        <v>188</v>
      </c>
      <c r="AA62">
        <v>1510</v>
      </c>
    </row>
    <row r="63" spans="1:27" x14ac:dyDescent="0.3">
      <c r="A63">
        <v>6</v>
      </c>
      <c r="B63" t="s">
        <v>51</v>
      </c>
      <c r="C63">
        <v>2026</v>
      </c>
      <c r="D63">
        <v>2</v>
      </c>
      <c r="E63" t="s">
        <v>28</v>
      </c>
      <c r="F63">
        <v>1402259</v>
      </c>
      <c r="G63">
        <v>0.95879999999999999</v>
      </c>
      <c r="H63">
        <v>15.1</v>
      </c>
      <c r="I63">
        <v>0.92490000000000006</v>
      </c>
      <c r="J63">
        <v>213905</v>
      </c>
      <c r="K63">
        <v>0.80410000000000004</v>
      </c>
      <c r="L63">
        <v>0.96319999999999995</v>
      </c>
      <c r="M63">
        <v>172</v>
      </c>
      <c r="N63">
        <v>2789</v>
      </c>
      <c r="O63">
        <v>8113</v>
      </c>
      <c r="P63">
        <v>833</v>
      </c>
      <c r="Q63">
        <v>36411</v>
      </c>
      <c r="R63">
        <v>923</v>
      </c>
      <c r="S63">
        <v>69</v>
      </c>
      <c r="T63">
        <v>1210</v>
      </c>
      <c r="U63">
        <v>35588</v>
      </c>
      <c r="V63">
        <v>2040</v>
      </c>
      <c r="W63">
        <v>824</v>
      </c>
      <c r="X63">
        <v>405</v>
      </c>
      <c r="Y63">
        <v>1322</v>
      </c>
      <c r="Z63">
        <v>200</v>
      </c>
      <c r="AA63">
        <v>1522</v>
      </c>
    </row>
    <row r="64" spans="1:27" x14ac:dyDescent="0.3">
      <c r="A64">
        <v>6</v>
      </c>
      <c r="B64" t="s">
        <v>51</v>
      </c>
      <c r="C64">
        <v>2026</v>
      </c>
      <c r="D64">
        <v>3</v>
      </c>
      <c r="E64" t="s">
        <v>29</v>
      </c>
      <c r="F64">
        <v>537028</v>
      </c>
      <c r="G64">
        <v>0.90480000000000005</v>
      </c>
      <c r="H64">
        <v>32.299999999999997</v>
      </c>
      <c r="I64">
        <v>0.98619999999999997</v>
      </c>
      <c r="J64">
        <v>1776539</v>
      </c>
      <c r="K64">
        <v>0.78259999999999996</v>
      </c>
      <c r="L64">
        <v>0.58030000000000004</v>
      </c>
      <c r="M64">
        <v>69</v>
      </c>
      <c r="N64">
        <v>5080</v>
      </c>
      <c r="O64">
        <v>12457</v>
      </c>
      <c r="P64">
        <v>9844</v>
      </c>
      <c r="Q64">
        <v>20599</v>
      </c>
      <c r="R64">
        <v>1914</v>
      </c>
      <c r="S64">
        <v>39</v>
      </c>
      <c r="T64">
        <v>207</v>
      </c>
      <c r="U64">
        <v>25975</v>
      </c>
      <c r="V64">
        <v>1902</v>
      </c>
      <c r="W64">
        <v>274</v>
      </c>
      <c r="X64">
        <v>185</v>
      </c>
      <c r="Y64">
        <v>547</v>
      </c>
      <c r="Z64">
        <v>132</v>
      </c>
      <c r="AA64">
        <v>679</v>
      </c>
    </row>
    <row r="65" spans="1:27" x14ac:dyDescent="0.3">
      <c r="A65">
        <v>6</v>
      </c>
      <c r="B65" t="s">
        <v>51</v>
      </c>
      <c r="C65">
        <v>2026</v>
      </c>
      <c r="D65">
        <v>4</v>
      </c>
      <c r="E65" t="s">
        <v>30</v>
      </c>
      <c r="F65">
        <v>1007025</v>
      </c>
      <c r="G65">
        <v>0.97070000000000001</v>
      </c>
      <c r="H65">
        <v>77.400000000000006</v>
      </c>
      <c r="I65">
        <v>0.92079999999999995</v>
      </c>
      <c r="J65">
        <v>683280</v>
      </c>
      <c r="K65">
        <v>0.9476</v>
      </c>
      <c r="L65">
        <v>0.77669999999999995</v>
      </c>
      <c r="M65">
        <v>69</v>
      </c>
      <c r="N65">
        <v>8055</v>
      </c>
      <c r="O65">
        <v>12764</v>
      </c>
      <c r="P65">
        <v>1052</v>
      </c>
      <c r="Q65">
        <v>37049</v>
      </c>
      <c r="R65">
        <v>1694</v>
      </c>
      <c r="S65">
        <v>45</v>
      </c>
      <c r="T65">
        <v>183</v>
      </c>
      <c r="U65">
        <v>33822</v>
      </c>
      <c r="V65">
        <v>4565</v>
      </c>
      <c r="W65">
        <v>640</v>
      </c>
      <c r="X65">
        <v>108</v>
      </c>
      <c r="Y65">
        <v>813</v>
      </c>
      <c r="Z65">
        <v>78</v>
      </c>
      <c r="AA65">
        <v>891</v>
      </c>
    </row>
    <row r="66" spans="1:27" x14ac:dyDescent="0.3">
      <c r="A66">
        <v>6</v>
      </c>
      <c r="B66" t="s">
        <v>51</v>
      </c>
      <c r="C66">
        <v>2026</v>
      </c>
      <c r="D66">
        <v>5</v>
      </c>
      <c r="E66" t="s">
        <v>31</v>
      </c>
      <c r="F66">
        <v>1018126</v>
      </c>
      <c r="G66">
        <v>0.87719999999999998</v>
      </c>
      <c r="H66">
        <v>19.100000000000001</v>
      </c>
      <c r="I66">
        <v>0.9083</v>
      </c>
      <c r="J66">
        <v>468301</v>
      </c>
      <c r="K66">
        <v>0.3553</v>
      </c>
      <c r="L66">
        <v>0.62370000000000003</v>
      </c>
      <c r="M66">
        <v>185</v>
      </c>
      <c r="N66">
        <v>6948</v>
      </c>
      <c r="O66">
        <v>2567</v>
      </c>
      <c r="P66">
        <v>12462</v>
      </c>
      <c r="Q66">
        <v>12856</v>
      </c>
      <c r="R66">
        <v>560</v>
      </c>
      <c r="S66">
        <v>19</v>
      </c>
      <c r="T66">
        <v>517</v>
      </c>
      <c r="U66">
        <v>19197</v>
      </c>
      <c r="V66">
        <v>1471</v>
      </c>
      <c r="W66">
        <v>329</v>
      </c>
      <c r="X66">
        <v>441</v>
      </c>
      <c r="Y66">
        <v>2004</v>
      </c>
      <c r="Z66">
        <v>108</v>
      </c>
      <c r="AA66">
        <v>2112</v>
      </c>
    </row>
    <row r="67" spans="1:27" x14ac:dyDescent="0.3">
      <c r="A67">
        <v>6</v>
      </c>
      <c r="B67" t="s">
        <v>51</v>
      </c>
      <c r="C67">
        <v>2026</v>
      </c>
      <c r="D67">
        <v>6</v>
      </c>
      <c r="E67" t="s">
        <v>32</v>
      </c>
      <c r="F67">
        <v>550470</v>
      </c>
      <c r="G67">
        <v>0.97340000000000004</v>
      </c>
      <c r="H67">
        <v>20.9</v>
      </c>
      <c r="I67">
        <v>0.89090000000000003</v>
      </c>
      <c r="J67">
        <v>194466</v>
      </c>
      <c r="K67">
        <v>0.54969999999999997</v>
      </c>
      <c r="L67">
        <v>0.79769999999999996</v>
      </c>
      <c r="M67">
        <v>48</v>
      </c>
      <c r="N67">
        <v>2656</v>
      </c>
      <c r="O67">
        <v>8881</v>
      </c>
      <c r="P67">
        <v>16051</v>
      </c>
      <c r="Q67">
        <v>13696</v>
      </c>
      <c r="R67">
        <v>999</v>
      </c>
      <c r="S67">
        <v>66</v>
      </c>
      <c r="T67">
        <v>1148</v>
      </c>
      <c r="U67">
        <v>11846</v>
      </c>
      <c r="V67">
        <v>3072</v>
      </c>
      <c r="W67">
        <v>990</v>
      </c>
      <c r="X67">
        <v>235</v>
      </c>
      <c r="Y67">
        <v>2248</v>
      </c>
      <c r="Z67">
        <v>82</v>
      </c>
      <c r="AA67">
        <v>2330</v>
      </c>
    </row>
    <row r="68" spans="1:27" x14ac:dyDescent="0.3">
      <c r="A68">
        <v>6</v>
      </c>
      <c r="B68" t="s">
        <v>51</v>
      </c>
      <c r="C68">
        <v>2026</v>
      </c>
      <c r="D68">
        <v>7</v>
      </c>
      <c r="E68" t="s">
        <v>33</v>
      </c>
      <c r="F68">
        <v>344629</v>
      </c>
      <c r="G68">
        <v>0.88880000000000003</v>
      </c>
      <c r="H68">
        <v>48.3</v>
      </c>
      <c r="I68">
        <v>0.86980000000000002</v>
      </c>
      <c r="J68">
        <v>203764</v>
      </c>
      <c r="K68">
        <v>0.55589999999999995</v>
      </c>
      <c r="L68">
        <v>0.86929999999999996</v>
      </c>
      <c r="M68">
        <v>191</v>
      </c>
      <c r="N68">
        <v>4504</v>
      </c>
      <c r="O68">
        <v>5580</v>
      </c>
      <c r="P68">
        <v>8516</v>
      </c>
      <c r="Q68">
        <v>2736</v>
      </c>
      <c r="R68">
        <v>1126</v>
      </c>
      <c r="S68">
        <v>94</v>
      </c>
      <c r="T68">
        <v>1102</v>
      </c>
      <c r="U68">
        <v>44433</v>
      </c>
      <c r="V68">
        <v>3111</v>
      </c>
      <c r="W68">
        <v>231</v>
      </c>
      <c r="X68">
        <v>117</v>
      </c>
      <c r="Y68">
        <v>2167</v>
      </c>
      <c r="Z68">
        <v>94</v>
      </c>
      <c r="AA68">
        <v>2261</v>
      </c>
    </row>
    <row r="69" spans="1:27" x14ac:dyDescent="0.3">
      <c r="A69">
        <v>6</v>
      </c>
      <c r="B69" t="s">
        <v>51</v>
      </c>
      <c r="C69">
        <v>2026</v>
      </c>
      <c r="D69">
        <v>8</v>
      </c>
      <c r="E69" t="s">
        <v>34</v>
      </c>
      <c r="F69">
        <v>724326</v>
      </c>
      <c r="G69">
        <v>0.92830000000000001</v>
      </c>
      <c r="H69">
        <v>22.8</v>
      </c>
      <c r="I69">
        <v>0.89990000000000003</v>
      </c>
      <c r="J69">
        <v>1957182</v>
      </c>
      <c r="K69">
        <v>0.70240000000000002</v>
      </c>
      <c r="L69">
        <v>0.58260000000000001</v>
      </c>
      <c r="M69">
        <v>64</v>
      </c>
      <c r="N69">
        <v>2689</v>
      </c>
      <c r="O69">
        <v>7090</v>
      </c>
      <c r="P69">
        <v>7708</v>
      </c>
      <c r="Q69">
        <v>14291</v>
      </c>
      <c r="R69">
        <v>1166</v>
      </c>
      <c r="S69">
        <v>5</v>
      </c>
      <c r="T69">
        <v>1098</v>
      </c>
      <c r="U69">
        <v>38743</v>
      </c>
      <c r="V69">
        <v>2964</v>
      </c>
      <c r="W69">
        <v>650</v>
      </c>
      <c r="X69">
        <v>220</v>
      </c>
      <c r="Y69">
        <v>2763</v>
      </c>
      <c r="Z69">
        <v>93</v>
      </c>
      <c r="AA69">
        <v>2856</v>
      </c>
    </row>
    <row r="70" spans="1:27" x14ac:dyDescent="0.3">
      <c r="A70">
        <v>6</v>
      </c>
      <c r="B70" t="s">
        <v>51</v>
      </c>
      <c r="C70">
        <v>2026</v>
      </c>
      <c r="D70">
        <v>9</v>
      </c>
      <c r="E70" t="s">
        <v>35</v>
      </c>
      <c r="F70">
        <v>317934</v>
      </c>
      <c r="G70">
        <v>0.86609999999999998</v>
      </c>
      <c r="H70">
        <v>98.9</v>
      </c>
      <c r="I70">
        <v>0.96360000000000001</v>
      </c>
      <c r="J70">
        <v>1323985</v>
      </c>
      <c r="K70">
        <v>0.70599999999999996</v>
      </c>
      <c r="L70">
        <v>0.94350000000000001</v>
      </c>
      <c r="M70">
        <v>98</v>
      </c>
      <c r="N70">
        <v>3012</v>
      </c>
      <c r="O70">
        <v>9897</v>
      </c>
      <c r="P70">
        <v>11494</v>
      </c>
      <c r="Q70">
        <v>4114</v>
      </c>
      <c r="R70">
        <v>1514</v>
      </c>
      <c r="S70">
        <v>6</v>
      </c>
      <c r="T70">
        <v>676</v>
      </c>
      <c r="U70">
        <v>17656</v>
      </c>
      <c r="V70">
        <v>4903</v>
      </c>
      <c r="W70">
        <v>264</v>
      </c>
      <c r="X70">
        <v>388</v>
      </c>
      <c r="Y70">
        <v>2161</v>
      </c>
      <c r="Z70">
        <v>131</v>
      </c>
      <c r="AA70">
        <v>2292</v>
      </c>
    </row>
    <row r="71" spans="1:27" x14ac:dyDescent="0.3">
      <c r="A71">
        <v>6</v>
      </c>
      <c r="B71" t="s">
        <v>51</v>
      </c>
      <c r="C71">
        <v>2026</v>
      </c>
      <c r="D71">
        <v>10</v>
      </c>
      <c r="E71" t="s">
        <v>40</v>
      </c>
      <c r="F71">
        <v>937351</v>
      </c>
      <c r="G71">
        <v>0.96079999999999999</v>
      </c>
      <c r="H71">
        <v>68.3</v>
      </c>
      <c r="I71">
        <v>0.88429999999999997</v>
      </c>
      <c r="J71">
        <v>1731316</v>
      </c>
      <c r="K71">
        <v>0.41260000000000002</v>
      </c>
      <c r="L71">
        <v>0.60329999999999995</v>
      </c>
      <c r="M71">
        <v>21</v>
      </c>
      <c r="N71">
        <v>6559</v>
      </c>
      <c r="O71">
        <v>13503</v>
      </c>
      <c r="P71">
        <v>322</v>
      </c>
      <c r="Q71">
        <v>14094</v>
      </c>
      <c r="R71">
        <v>572</v>
      </c>
      <c r="S71">
        <v>90</v>
      </c>
      <c r="T71">
        <v>1030</v>
      </c>
      <c r="U71">
        <v>16586</v>
      </c>
      <c r="V71">
        <v>4082</v>
      </c>
      <c r="W71">
        <v>828</v>
      </c>
      <c r="X71">
        <v>423</v>
      </c>
      <c r="Y71">
        <v>2642</v>
      </c>
      <c r="Z71">
        <v>197</v>
      </c>
      <c r="AA71">
        <v>2839</v>
      </c>
    </row>
    <row r="72" spans="1:27" x14ac:dyDescent="0.3">
      <c r="A72">
        <v>6</v>
      </c>
      <c r="B72" t="s">
        <v>51</v>
      </c>
      <c r="C72">
        <v>2026</v>
      </c>
      <c r="D72">
        <v>11</v>
      </c>
      <c r="E72" t="s">
        <v>41</v>
      </c>
      <c r="F72">
        <v>44095</v>
      </c>
      <c r="G72">
        <v>0.94510000000000005</v>
      </c>
      <c r="H72">
        <v>69.099999999999994</v>
      </c>
      <c r="I72">
        <v>0.8569</v>
      </c>
      <c r="J72">
        <v>1237680</v>
      </c>
      <c r="K72">
        <v>0.94910000000000005</v>
      </c>
      <c r="L72">
        <v>0.97740000000000005</v>
      </c>
      <c r="M72">
        <v>69</v>
      </c>
      <c r="N72">
        <v>6709</v>
      </c>
      <c r="O72">
        <v>9497</v>
      </c>
      <c r="P72">
        <v>1655</v>
      </c>
      <c r="Q72">
        <v>38462</v>
      </c>
      <c r="R72">
        <v>1318</v>
      </c>
      <c r="S72">
        <v>1</v>
      </c>
      <c r="T72">
        <v>101</v>
      </c>
      <c r="U72">
        <v>22206</v>
      </c>
      <c r="V72">
        <v>3042</v>
      </c>
      <c r="W72">
        <v>800</v>
      </c>
      <c r="X72">
        <v>300</v>
      </c>
      <c r="Y72">
        <v>1936</v>
      </c>
      <c r="Z72">
        <v>103</v>
      </c>
      <c r="AA72">
        <v>2039</v>
      </c>
    </row>
    <row r="73" spans="1:27" x14ac:dyDescent="0.3">
      <c r="A73">
        <v>6</v>
      </c>
      <c r="B73" t="s">
        <v>51</v>
      </c>
      <c r="C73">
        <v>2026</v>
      </c>
      <c r="D73">
        <v>12</v>
      </c>
      <c r="E73" t="s">
        <v>42</v>
      </c>
      <c r="F73">
        <v>76432</v>
      </c>
      <c r="G73">
        <v>0.97070000000000001</v>
      </c>
      <c r="H73">
        <v>6.2</v>
      </c>
      <c r="I73">
        <v>0.96140000000000003</v>
      </c>
      <c r="J73">
        <v>62961</v>
      </c>
      <c r="K73">
        <v>0.52339999999999998</v>
      </c>
      <c r="L73">
        <v>0.80569999999999997</v>
      </c>
      <c r="M73">
        <v>193</v>
      </c>
      <c r="N73">
        <v>7373</v>
      </c>
      <c r="O73">
        <v>2517</v>
      </c>
      <c r="P73">
        <v>2972</v>
      </c>
      <c r="Q73">
        <v>40585</v>
      </c>
      <c r="R73">
        <v>381</v>
      </c>
      <c r="S73">
        <v>56</v>
      </c>
      <c r="T73">
        <v>267</v>
      </c>
      <c r="U73">
        <v>31817</v>
      </c>
      <c r="V73">
        <v>3898</v>
      </c>
      <c r="W73">
        <v>205</v>
      </c>
      <c r="X73">
        <v>32</v>
      </c>
      <c r="Y73">
        <v>1603</v>
      </c>
      <c r="Z73">
        <v>153</v>
      </c>
      <c r="AA73">
        <v>1756</v>
      </c>
    </row>
    <row r="74" spans="1:27" x14ac:dyDescent="0.3">
      <c r="A74">
        <v>7</v>
      </c>
      <c r="B74" t="s">
        <v>52</v>
      </c>
      <c r="C74">
        <v>2026</v>
      </c>
      <c r="D74">
        <v>1</v>
      </c>
      <c r="E74" t="s">
        <v>27</v>
      </c>
      <c r="F74">
        <v>1378123</v>
      </c>
      <c r="G74">
        <v>0.87190000000000001</v>
      </c>
      <c r="H74">
        <v>54.7</v>
      </c>
      <c r="I74">
        <v>0.89139999999999997</v>
      </c>
      <c r="J74">
        <v>654634</v>
      </c>
      <c r="K74">
        <v>0.43580000000000002</v>
      </c>
      <c r="L74">
        <v>0.96199999999999997</v>
      </c>
      <c r="M74">
        <v>63</v>
      </c>
      <c r="N74">
        <v>8158</v>
      </c>
      <c r="O74">
        <v>6482</v>
      </c>
      <c r="P74">
        <v>7080</v>
      </c>
      <c r="Q74">
        <v>39784</v>
      </c>
      <c r="R74">
        <v>1957</v>
      </c>
      <c r="S74">
        <v>84</v>
      </c>
      <c r="T74">
        <v>1465</v>
      </c>
      <c r="U74">
        <v>21506</v>
      </c>
      <c r="V74">
        <v>4112</v>
      </c>
      <c r="W74">
        <v>732</v>
      </c>
      <c r="X74">
        <v>141</v>
      </c>
      <c r="Y74">
        <v>2434</v>
      </c>
      <c r="Z74">
        <v>177</v>
      </c>
      <c r="AA74">
        <v>2611</v>
      </c>
    </row>
    <row r="75" spans="1:27" x14ac:dyDescent="0.3">
      <c r="A75">
        <v>7</v>
      </c>
      <c r="B75" t="s">
        <v>52</v>
      </c>
      <c r="C75">
        <v>2026</v>
      </c>
      <c r="D75">
        <v>2</v>
      </c>
      <c r="E75" t="s">
        <v>28</v>
      </c>
      <c r="F75">
        <v>588209</v>
      </c>
      <c r="G75">
        <v>0.90959999999999996</v>
      </c>
      <c r="H75">
        <v>98.6</v>
      </c>
      <c r="I75">
        <v>0.91500000000000004</v>
      </c>
      <c r="J75">
        <v>1389471</v>
      </c>
      <c r="K75">
        <v>0.55700000000000005</v>
      </c>
      <c r="L75">
        <v>0.66710000000000003</v>
      </c>
      <c r="M75">
        <v>152</v>
      </c>
      <c r="N75">
        <v>6962</v>
      </c>
      <c r="O75">
        <v>2195</v>
      </c>
      <c r="P75">
        <v>2914</v>
      </c>
      <c r="Q75">
        <v>31556</v>
      </c>
      <c r="R75">
        <v>934</v>
      </c>
      <c r="S75">
        <v>75</v>
      </c>
      <c r="T75">
        <v>1017</v>
      </c>
      <c r="U75">
        <v>26933</v>
      </c>
      <c r="V75">
        <v>951</v>
      </c>
      <c r="W75">
        <v>326</v>
      </c>
      <c r="X75">
        <v>76</v>
      </c>
      <c r="Y75">
        <v>2307</v>
      </c>
      <c r="Z75">
        <v>51</v>
      </c>
      <c r="AA75">
        <v>2358</v>
      </c>
    </row>
    <row r="76" spans="1:27" x14ac:dyDescent="0.3">
      <c r="A76">
        <v>7</v>
      </c>
      <c r="B76" t="s">
        <v>52</v>
      </c>
      <c r="C76">
        <v>2026</v>
      </c>
      <c r="D76">
        <v>3</v>
      </c>
      <c r="E76" t="s">
        <v>29</v>
      </c>
      <c r="F76">
        <v>815935</v>
      </c>
      <c r="G76">
        <v>0.97240000000000004</v>
      </c>
      <c r="H76">
        <v>88.9</v>
      </c>
      <c r="I76">
        <v>0.89529999999999998</v>
      </c>
      <c r="J76">
        <v>652967</v>
      </c>
      <c r="K76">
        <v>0.37640000000000001</v>
      </c>
      <c r="L76">
        <v>0.50949999999999995</v>
      </c>
      <c r="M76">
        <v>59</v>
      </c>
      <c r="N76">
        <v>1520</v>
      </c>
      <c r="O76">
        <v>12679</v>
      </c>
      <c r="P76">
        <v>12201</v>
      </c>
      <c r="Q76">
        <v>6514</v>
      </c>
      <c r="R76">
        <v>345</v>
      </c>
      <c r="S76">
        <v>92</v>
      </c>
      <c r="T76">
        <v>628</v>
      </c>
      <c r="U76">
        <v>37600</v>
      </c>
      <c r="V76">
        <v>592</v>
      </c>
      <c r="W76">
        <v>890</v>
      </c>
      <c r="X76">
        <v>474</v>
      </c>
      <c r="Y76">
        <v>702</v>
      </c>
      <c r="Z76">
        <v>105</v>
      </c>
      <c r="AA76">
        <v>807</v>
      </c>
    </row>
    <row r="77" spans="1:27" x14ac:dyDescent="0.3">
      <c r="A77">
        <v>7</v>
      </c>
      <c r="B77" t="s">
        <v>52</v>
      </c>
      <c r="C77">
        <v>2026</v>
      </c>
      <c r="D77">
        <v>4</v>
      </c>
      <c r="E77" t="s">
        <v>30</v>
      </c>
      <c r="F77">
        <v>109416</v>
      </c>
      <c r="G77">
        <v>0.91390000000000005</v>
      </c>
      <c r="H77">
        <v>95.6</v>
      </c>
      <c r="I77">
        <v>0.98040000000000005</v>
      </c>
      <c r="J77">
        <v>92893</v>
      </c>
      <c r="K77">
        <v>0.97660000000000002</v>
      </c>
      <c r="L77">
        <v>0.51449999999999996</v>
      </c>
      <c r="M77">
        <v>73</v>
      </c>
      <c r="N77">
        <v>2688</v>
      </c>
      <c r="O77">
        <v>6861</v>
      </c>
      <c r="P77">
        <v>4901</v>
      </c>
      <c r="Q77">
        <v>29254</v>
      </c>
      <c r="R77">
        <v>1640</v>
      </c>
      <c r="S77">
        <v>10</v>
      </c>
      <c r="T77">
        <v>422</v>
      </c>
      <c r="U77">
        <v>16081</v>
      </c>
      <c r="V77">
        <v>3974</v>
      </c>
      <c r="W77">
        <v>493</v>
      </c>
      <c r="X77">
        <v>203</v>
      </c>
      <c r="Y77">
        <v>1780</v>
      </c>
      <c r="Z77">
        <v>192</v>
      </c>
      <c r="AA77">
        <v>1972</v>
      </c>
    </row>
    <row r="78" spans="1:27" x14ac:dyDescent="0.3">
      <c r="A78">
        <v>7</v>
      </c>
      <c r="B78" t="s">
        <v>52</v>
      </c>
      <c r="C78">
        <v>2026</v>
      </c>
      <c r="D78">
        <v>5</v>
      </c>
      <c r="E78" t="s">
        <v>31</v>
      </c>
      <c r="F78">
        <v>1341632</v>
      </c>
      <c r="G78">
        <v>0.89900000000000002</v>
      </c>
      <c r="H78">
        <v>75.900000000000006</v>
      </c>
      <c r="I78">
        <v>0.88490000000000002</v>
      </c>
      <c r="J78">
        <v>1937198</v>
      </c>
      <c r="K78">
        <v>0.66259999999999997</v>
      </c>
      <c r="L78">
        <v>0.63819999999999999</v>
      </c>
      <c r="M78">
        <v>170</v>
      </c>
      <c r="N78">
        <v>6189</v>
      </c>
      <c r="O78">
        <v>11820</v>
      </c>
      <c r="P78">
        <v>5642</v>
      </c>
      <c r="Q78">
        <v>46207</v>
      </c>
      <c r="R78">
        <v>1749</v>
      </c>
      <c r="S78">
        <v>70</v>
      </c>
      <c r="T78">
        <v>1366</v>
      </c>
      <c r="U78">
        <v>1064</v>
      </c>
      <c r="V78">
        <v>4102</v>
      </c>
      <c r="W78">
        <v>997</v>
      </c>
      <c r="X78">
        <v>128</v>
      </c>
      <c r="Y78">
        <v>1168</v>
      </c>
      <c r="Z78">
        <v>45</v>
      </c>
      <c r="AA78">
        <v>1213</v>
      </c>
    </row>
    <row r="79" spans="1:27" x14ac:dyDescent="0.3">
      <c r="A79">
        <v>7</v>
      </c>
      <c r="B79" t="s">
        <v>52</v>
      </c>
      <c r="C79">
        <v>2026</v>
      </c>
      <c r="D79">
        <v>6</v>
      </c>
      <c r="E79" t="s">
        <v>32</v>
      </c>
      <c r="F79">
        <v>900540</v>
      </c>
      <c r="G79">
        <v>0.90800000000000003</v>
      </c>
      <c r="H79">
        <v>5.5</v>
      </c>
      <c r="I79">
        <v>0.89200000000000002</v>
      </c>
      <c r="J79">
        <v>214657</v>
      </c>
      <c r="K79">
        <v>0.93869999999999998</v>
      </c>
      <c r="L79">
        <v>0.96909999999999996</v>
      </c>
      <c r="M79">
        <v>95</v>
      </c>
      <c r="N79">
        <v>6280</v>
      </c>
      <c r="O79">
        <v>7480</v>
      </c>
      <c r="P79">
        <v>16054</v>
      </c>
      <c r="Q79">
        <v>36391</v>
      </c>
      <c r="R79">
        <v>1118</v>
      </c>
      <c r="S79">
        <v>90</v>
      </c>
      <c r="T79">
        <v>675</v>
      </c>
      <c r="U79">
        <v>13651</v>
      </c>
      <c r="V79">
        <v>3837</v>
      </c>
      <c r="W79">
        <v>210</v>
      </c>
      <c r="X79">
        <v>371</v>
      </c>
      <c r="Y79">
        <v>2053</v>
      </c>
      <c r="Z79">
        <v>31</v>
      </c>
      <c r="AA79">
        <v>2084</v>
      </c>
    </row>
    <row r="80" spans="1:27" x14ac:dyDescent="0.3">
      <c r="A80">
        <v>7</v>
      </c>
      <c r="B80" t="s">
        <v>52</v>
      </c>
      <c r="C80">
        <v>2026</v>
      </c>
      <c r="D80">
        <v>7</v>
      </c>
      <c r="E80" t="s">
        <v>33</v>
      </c>
      <c r="F80">
        <v>248369</v>
      </c>
      <c r="G80">
        <v>0.9526</v>
      </c>
      <c r="H80">
        <v>69.400000000000006</v>
      </c>
      <c r="I80">
        <v>0.97089999999999999</v>
      </c>
      <c r="J80">
        <v>1956588</v>
      </c>
      <c r="K80">
        <v>0.42430000000000001</v>
      </c>
      <c r="L80">
        <v>0.50019999999999998</v>
      </c>
      <c r="M80">
        <v>127</v>
      </c>
      <c r="N80">
        <v>9457</v>
      </c>
      <c r="O80">
        <v>2209</v>
      </c>
      <c r="P80">
        <v>4589</v>
      </c>
      <c r="Q80">
        <v>31400</v>
      </c>
      <c r="R80">
        <v>397</v>
      </c>
      <c r="S80">
        <v>42</v>
      </c>
      <c r="T80">
        <v>310</v>
      </c>
      <c r="U80">
        <v>31182</v>
      </c>
      <c r="V80">
        <v>2163</v>
      </c>
      <c r="W80">
        <v>143</v>
      </c>
      <c r="X80">
        <v>169</v>
      </c>
      <c r="Y80">
        <v>1354</v>
      </c>
      <c r="Z80">
        <v>196</v>
      </c>
      <c r="AA80">
        <v>1550</v>
      </c>
    </row>
    <row r="81" spans="1:27" x14ac:dyDescent="0.3">
      <c r="A81">
        <v>7</v>
      </c>
      <c r="B81" t="s">
        <v>52</v>
      </c>
      <c r="C81">
        <v>2026</v>
      </c>
      <c r="D81">
        <v>8</v>
      </c>
      <c r="E81" t="s">
        <v>34</v>
      </c>
      <c r="F81">
        <v>486931</v>
      </c>
      <c r="G81">
        <v>0.87260000000000004</v>
      </c>
      <c r="H81">
        <v>77.3</v>
      </c>
      <c r="I81">
        <v>0.93640000000000001</v>
      </c>
      <c r="J81">
        <v>686270</v>
      </c>
      <c r="K81">
        <v>0.68120000000000003</v>
      </c>
      <c r="L81">
        <v>0.88260000000000005</v>
      </c>
      <c r="M81">
        <v>95</v>
      </c>
      <c r="N81">
        <v>3879</v>
      </c>
      <c r="O81">
        <v>2769</v>
      </c>
      <c r="P81">
        <v>16631</v>
      </c>
      <c r="Q81">
        <v>40649</v>
      </c>
      <c r="R81">
        <v>110</v>
      </c>
      <c r="S81">
        <v>25</v>
      </c>
      <c r="T81">
        <v>1124</v>
      </c>
      <c r="U81">
        <v>45891</v>
      </c>
      <c r="V81">
        <v>3369</v>
      </c>
      <c r="W81">
        <v>532</v>
      </c>
      <c r="X81">
        <v>84</v>
      </c>
      <c r="Y81">
        <v>751</v>
      </c>
      <c r="Z81">
        <v>114</v>
      </c>
      <c r="AA81">
        <v>865</v>
      </c>
    </row>
    <row r="82" spans="1:27" x14ac:dyDescent="0.3">
      <c r="A82">
        <v>7</v>
      </c>
      <c r="B82" t="s">
        <v>52</v>
      </c>
      <c r="C82">
        <v>2026</v>
      </c>
      <c r="D82">
        <v>9</v>
      </c>
      <c r="E82" t="s">
        <v>35</v>
      </c>
      <c r="F82">
        <v>63748</v>
      </c>
      <c r="G82">
        <v>0.93559999999999999</v>
      </c>
      <c r="H82">
        <v>65</v>
      </c>
      <c r="I82">
        <v>0.96399999999999997</v>
      </c>
      <c r="J82">
        <v>43947</v>
      </c>
      <c r="K82">
        <v>0.7006</v>
      </c>
      <c r="L82">
        <v>0.67320000000000002</v>
      </c>
      <c r="M82">
        <v>78</v>
      </c>
      <c r="N82">
        <v>6447</v>
      </c>
      <c r="O82">
        <v>511</v>
      </c>
      <c r="P82">
        <v>2895</v>
      </c>
      <c r="Q82">
        <v>33302</v>
      </c>
      <c r="R82">
        <v>331</v>
      </c>
      <c r="S82">
        <v>35</v>
      </c>
      <c r="T82">
        <v>920</v>
      </c>
      <c r="U82">
        <v>26606</v>
      </c>
      <c r="V82">
        <v>4128</v>
      </c>
      <c r="W82">
        <v>713</v>
      </c>
      <c r="X82">
        <v>282</v>
      </c>
      <c r="Y82">
        <v>911</v>
      </c>
      <c r="Z82">
        <v>98</v>
      </c>
      <c r="AA82">
        <v>1009</v>
      </c>
    </row>
    <row r="83" spans="1:27" x14ac:dyDescent="0.3">
      <c r="A83">
        <v>7</v>
      </c>
      <c r="B83" t="s">
        <v>52</v>
      </c>
      <c r="C83">
        <v>2026</v>
      </c>
      <c r="D83">
        <v>10</v>
      </c>
      <c r="E83" t="s">
        <v>40</v>
      </c>
      <c r="F83">
        <v>667061</v>
      </c>
      <c r="G83">
        <v>0.97960000000000003</v>
      </c>
      <c r="H83">
        <v>7.9</v>
      </c>
      <c r="I83">
        <v>0.94610000000000005</v>
      </c>
      <c r="J83">
        <v>253791</v>
      </c>
      <c r="K83">
        <v>0.85140000000000005</v>
      </c>
      <c r="L83">
        <v>0.82969999999999999</v>
      </c>
      <c r="M83">
        <v>37</v>
      </c>
      <c r="N83">
        <v>4827</v>
      </c>
      <c r="O83">
        <v>11753</v>
      </c>
      <c r="P83">
        <v>10895</v>
      </c>
      <c r="Q83">
        <v>29844</v>
      </c>
      <c r="R83">
        <v>127</v>
      </c>
      <c r="S83">
        <v>72</v>
      </c>
      <c r="T83">
        <v>925</v>
      </c>
      <c r="U83">
        <v>6692</v>
      </c>
      <c r="V83">
        <v>3841</v>
      </c>
      <c r="W83">
        <v>795</v>
      </c>
      <c r="X83">
        <v>454</v>
      </c>
      <c r="Y83">
        <v>1078</v>
      </c>
      <c r="Z83">
        <v>142</v>
      </c>
      <c r="AA83">
        <v>1220</v>
      </c>
    </row>
    <row r="84" spans="1:27" x14ac:dyDescent="0.3">
      <c r="A84">
        <v>7</v>
      </c>
      <c r="B84" t="s">
        <v>52</v>
      </c>
      <c r="C84">
        <v>2026</v>
      </c>
      <c r="D84">
        <v>11</v>
      </c>
      <c r="E84" t="s">
        <v>41</v>
      </c>
      <c r="F84">
        <v>1112572</v>
      </c>
      <c r="G84">
        <v>0.91310000000000002</v>
      </c>
      <c r="H84">
        <v>33.4</v>
      </c>
      <c r="I84">
        <v>0.98529999999999995</v>
      </c>
      <c r="J84">
        <v>1831075</v>
      </c>
      <c r="K84">
        <v>0.32</v>
      </c>
      <c r="L84">
        <v>0.62</v>
      </c>
      <c r="M84">
        <v>121</v>
      </c>
      <c r="N84">
        <v>3450</v>
      </c>
      <c r="O84">
        <v>2768</v>
      </c>
      <c r="P84">
        <v>11981</v>
      </c>
      <c r="Q84">
        <v>10788</v>
      </c>
      <c r="R84">
        <v>1000</v>
      </c>
      <c r="S84">
        <v>3</v>
      </c>
      <c r="T84">
        <v>651</v>
      </c>
      <c r="U84">
        <v>21100</v>
      </c>
      <c r="V84">
        <v>2946</v>
      </c>
      <c r="W84">
        <v>817</v>
      </c>
      <c r="X84">
        <v>244</v>
      </c>
      <c r="Y84">
        <v>1335</v>
      </c>
      <c r="Z84">
        <v>142</v>
      </c>
      <c r="AA84">
        <v>1477</v>
      </c>
    </row>
    <row r="85" spans="1:27" x14ac:dyDescent="0.3">
      <c r="A85">
        <v>7</v>
      </c>
      <c r="B85" t="s">
        <v>52</v>
      </c>
      <c r="C85">
        <v>2026</v>
      </c>
      <c r="D85">
        <v>12</v>
      </c>
      <c r="E85" t="s">
        <v>42</v>
      </c>
      <c r="F85">
        <v>736105</v>
      </c>
      <c r="G85">
        <v>0.94189999999999996</v>
      </c>
      <c r="H85">
        <v>39</v>
      </c>
      <c r="I85">
        <v>0.90429999999999999</v>
      </c>
      <c r="J85">
        <v>1048852</v>
      </c>
      <c r="K85">
        <v>0.54359999999999997</v>
      </c>
      <c r="L85">
        <v>0.50549999999999995</v>
      </c>
      <c r="M85">
        <v>28</v>
      </c>
      <c r="N85">
        <v>9028</v>
      </c>
      <c r="O85">
        <v>11421</v>
      </c>
      <c r="P85">
        <v>18348</v>
      </c>
      <c r="Q85">
        <v>27618</v>
      </c>
      <c r="R85">
        <v>1342</v>
      </c>
      <c r="S85">
        <v>22</v>
      </c>
      <c r="T85">
        <v>193</v>
      </c>
      <c r="U85">
        <v>43079</v>
      </c>
      <c r="V85">
        <v>2522</v>
      </c>
      <c r="W85">
        <v>705</v>
      </c>
      <c r="X85">
        <v>138</v>
      </c>
      <c r="Y85">
        <v>2908</v>
      </c>
      <c r="Z85">
        <v>32</v>
      </c>
      <c r="AA85">
        <v>2940</v>
      </c>
    </row>
    <row r="86" spans="1:27" x14ac:dyDescent="0.3">
      <c r="A86">
        <v>8</v>
      </c>
      <c r="B86" t="s">
        <v>53</v>
      </c>
      <c r="C86">
        <v>2026</v>
      </c>
      <c r="D86">
        <v>1</v>
      </c>
      <c r="E86" t="s">
        <v>27</v>
      </c>
      <c r="F86">
        <v>398799</v>
      </c>
      <c r="G86">
        <v>0.9839</v>
      </c>
      <c r="H86">
        <v>58.1</v>
      </c>
      <c r="I86">
        <v>0.94950000000000001</v>
      </c>
      <c r="J86">
        <v>785407</v>
      </c>
      <c r="K86">
        <v>0.44140000000000001</v>
      </c>
      <c r="L86">
        <v>0.52539999999999998</v>
      </c>
      <c r="M86">
        <v>99</v>
      </c>
      <c r="N86">
        <v>7787</v>
      </c>
      <c r="O86">
        <v>8764</v>
      </c>
      <c r="P86">
        <v>18166</v>
      </c>
      <c r="Q86">
        <v>2942</v>
      </c>
      <c r="R86">
        <v>257</v>
      </c>
      <c r="S86">
        <v>30</v>
      </c>
      <c r="T86">
        <v>779</v>
      </c>
      <c r="U86">
        <v>7853</v>
      </c>
      <c r="V86">
        <v>3453</v>
      </c>
      <c r="W86">
        <v>638</v>
      </c>
      <c r="X86">
        <v>122</v>
      </c>
      <c r="Y86">
        <v>1261</v>
      </c>
      <c r="Z86">
        <v>138</v>
      </c>
      <c r="AA86">
        <v>1399</v>
      </c>
    </row>
    <row r="87" spans="1:27" x14ac:dyDescent="0.3">
      <c r="A87">
        <v>8</v>
      </c>
      <c r="B87" t="s">
        <v>53</v>
      </c>
      <c r="C87">
        <v>2026</v>
      </c>
      <c r="D87">
        <v>2</v>
      </c>
      <c r="E87" t="s">
        <v>28</v>
      </c>
      <c r="F87">
        <v>639904</v>
      </c>
      <c r="G87">
        <v>0.91010000000000002</v>
      </c>
      <c r="H87">
        <v>89.9</v>
      </c>
      <c r="I87">
        <v>0.97130000000000005</v>
      </c>
      <c r="J87">
        <v>1583981</v>
      </c>
      <c r="K87">
        <v>0.75280000000000002</v>
      </c>
      <c r="L87">
        <v>0.83860000000000001</v>
      </c>
      <c r="M87">
        <v>111</v>
      </c>
      <c r="N87">
        <v>5549</v>
      </c>
      <c r="O87">
        <v>12293</v>
      </c>
      <c r="P87">
        <v>14042</v>
      </c>
      <c r="Q87">
        <v>49153</v>
      </c>
      <c r="R87">
        <v>719</v>
      </c>
      <c r="S87">
        <v>34</v>
      </c>
      <c r="T87">
        <v>1054</v>
      </c>
      <c r="U87">
        <v>3080</v>
      </c>
      <c r="V87">
        <v>2692</v>
      </c>
      <c r="W87">
        <v>357</v>
      </c>
      <c r="X87">
        <v>415</v>
      </c>
      <c r="Y87">
        <v>1240</v>
      </c>
      <c r="Z87">
        <v>20</v>
      </c>
      <c r="AA87">
        <v>1260</v>
      </c>
    </row>
    <row r="88" spans="1:27" x14ac:dyDescent="0.3">
      <c r="A88">
        <v>8</v>
      </c>
      <c r="B88" t="s">
        <v>53</v>
      </c>
      <c r="C88">
        <v>2026</v>
      </c>
      <c r="D88">
        <v>3</v>
      </c>
      <c r="E88" t="s">
        <v>29</v>
      </c>
      <c r="F88">
        <v>435224</v>
      </c>
      <c r="G88">
        <v>0.92949999999999999</v>
      </c>
      <c r="H88">
        <v>63.1</v>
      </c>
      <c r="I88">
        <v>0.92100000000000004</v>
      </c>
      <c r="J88">
        <v>502941</v>
      </c>
      <c r="K88">
        <v>0.78910000000000002</v>
      </c>
      <c r="L88">
        <v>0.83530000000000004</v>
      </c>
      <c r="M88">
        <v>12</v>
      </c>
      <c r="N88">
        <v>1804</v>
      </c>
      <c r="O88">
        <v>11633</v>
      </c>
      <c r="P88">
        <v>9749</v>
      </c>
      <c r="Q88">
        <v>20846</v>
      </c>
      <c r="R88">
        <v>947</v>
      </c>
      <c r="S88">
        <v>38</v>
      </c>
      <c r="T88">
        <v>838</v>
      </c>
      <c r="U88">
        <v>4804</v>
      </c>
      <c r="V88">
        <v>1184</v>
      </c>
      <c r="W88">
        <v>842</v>
      </c>
      <c r="X88">
        <v>359</v>
      </c>
      <c r="Y88">
        <v>2199</v>
      </c>
      <c r="Z88">
        <v>98</v>
      </c>
      <c r="AA88">
        <v>2297</v>
      </c>
    </row>
    <row r="89" spans="1:27" x14ac:dyDescent="0.3">
      <c r="A89">
        <v>8</v>
      </c>
      <c r="B89" t="s">
        <v>53</v>
      </c>
      <c r="C89">
        <v>2026</v>
      </c>
      <c r="D89">
        <v>4</v>
      </c>
      <c r="E89" t="s">
        <v>30</v>
      </c>
      <c r="F89">
        <v>841604</v>
      </c>
      <c r="G89">
        <v>0.88939999999999997</v>
      </c>
      <c r="H89">
        <v>90.5</v>
      </c>
      <c r="I89">
        <v>0.90559999999999996</v>
      </c>
      <c r="J89">
        <v>1559525</v>
      </c>
      <c r="K89">
        <v>0.22869999999999999</v>
      </c>
      <c r="L89">
        <v>0.79759999999999998</v>
      </c>
      <c r="M89">
        <v>89</v>
      </c>
      <c r="N89">
        <v>1226</v>
      </c>
      <c r="O89">
        <v>13652</v>
      </c>
      <c r="P89">
        <v>11623</v>
      </c>
      <c r="Q89">
        <v>37539</v>
      </c>
      <c r="R89">
        <v>1015</v>
      </c>
      <c r="S89">
        <v>90</v>
      </c>
      <c r="T89">
        <v>713</v>
      </c>
      <c r="U89">
        <v>44020</v>
      </c>
      <c r="V89">
        <v>1078</v>
      </c>
      <c r="W89">
        <v>954</v>
      </c>
      <c r="X89">
        <v>481</v>
      </c>
      <c r="Y89">
        <v>2685</v>
      </c>
      <c r="Z89">
        <v>129</v>
      </c>
      <c r="AA89">
        <v>2814</v>
      </c>
    </row>
    <row r="90" spans="1:27" x14ac:dyDescent="0.3">
      <c r="A90">
        <v>8</v>
      </c>
      <c r="B90" t="s">
        <v>53</v>
      </c>
      <c r="C90">
        <v>2026</v>
      </c>
      <c r="D90">
        <v>5</v>
      </c>
      <c r="E90" t="s">
        <v>31</v>
      </c>
      <c r="F90">
        <v>1004923</v>
      </c>
      <c r="G90">
        <v>0.93689999999999996</v>
      </c>
      <c r="H90">
        <v>66.099999999999994</v>
      </c>
      <c r="I90">
        <v>0.9284</v>
      </c>
      <c r="J90">
        <v>1032235</v>
      </c>
      <c r="K90">
        <v>0.88009999999999999</v>
      </c>
      <c r="L90">
        <v>0.95850000000000002</v>
      </c>
      <c r="M90">
        <v>128</v>
      </c>
      <c r="N90">
        <v>2093</v>
      </c>
      <c r="O90">
        <v>5169</v>
      </c>
      <c r="P90">
        <v>11368</v>
      </c>
      <c r="Q90">
        <v>18315</v>
      </c>
      <c r="R90">
        <v>140</v>
      </c>
      <c r="S90">
        <v>17</v>
      </c>
      <c r="T90">
        <v>1445</v>
      </c>
      <c r="U90">
        <v>6881</v>
      </c>
      <c r="V90">
        <v>2468</v>
      </c>
      <c r="W90">
        <v>824</v>
      </c>
      <c r="X90">
        <v>430</v>
      </c>
      <c r="Y90">
        <v>624</v>
      </c>
      <c r="Z90">
        <v>198</v>
      </c>
      <c r="AA90">
        <v>822</v>
      </c>
    </row>
    <row r="91" spans="1:27" x14ac:dyDescent="0.3">
      <c r="A91">
        <v>8</v>
      </c>
      <c r="B91" t="s">
        <v>53</v>
      </c>
      <c r="C91">
        <v>2026</v>
      </c>
      <c r="D91">
        <v>6</v>
      </c>
      <c r="E91" t="s">
        <v>32</v>
      </c>
      <c r="F91">
        <v>1319861</v>
      </c>
      <c r="G91">
        <v>0.93479999999999996</v>
      </c>
      <c r="H91">
        <v>63.8</v>
      </c>
      <c r="I91">
        <v>0.95209999999999995</v>
      </c>
      <c r="J91">
        <v>1703623</v>
      </c>
      <c r="K91">
        <v>0.27089999999999997</v>
      </c>
      <c r="L91">
        <v>0.89039999999999997</v>
      </c>
      <c r="M91">
        <v>92</v>
      </c>
      <c r="N91">
        <v>7619</v>
      </c>
      <c r="O91">
        <v>11987</v>
      </c>
      <c r="P91">
        <v>6821</v>
      </c>
      <c r="Q91">
        <v>49625</v>
      </c>
      <c r="R91">
        <v>1434</v>
      </c>
      <c r="S91">
        <v>1</v>
      </c>
      <c r="T91">
        <v>1220</v>
      </c>
      <c r="U91">
        <v>21719</v>
      </c>
      <c r="V91">
        <v>3838</v>
      </c>
      <c r="W91">
        <v>823</v>
      </c>
      <c r="X91">
        <v>192</v>
      </c>
      <c r="Y91">
        <v>1660</v>
      </c>
      <c r="Z91">
        <v>96</v>
      </c>
      <c r="AA91">
        <v>1756</v>
      </c>
    </row>
    <row r="92" spans="1:27" x14ac:dyDescent="0.3">
      <c r="A92">
        <v>8</v>
      </c>
      <c r="B92" t="s">
        <v>53</v>
      </c>
      <c r="C92">
        <v>2026</v>
      </c>
      <c r="D92">
        <v>7</v>
      </c>
      <c r="E92" t="s">
        <v>33</v>
      </c>
      <c r="F92">
        <v>1348433</v>
      </c>
      <c r="G92">
        <v>0.93679999999999997</v>
      </c>
      <c r="H92">
        <v>82.5</v>
      </c>
      <c r="I92">
        <v>0.98250000000000004</v>
      </c>
      <c r="J92">
        <v>1323583</v>
      </c>
      <c r="K92">
        <v>0.27929999999999999</v>
      </c>
      <c r="L92">
        <v>0.63959999999999995</v>
      </c>
      <c r="M92">
        <v>63</v>
      </c>
      <c r="N92">
        <v>4434</v>
      </c>
      <c r="O92">
        <v>3482</v>
      </c>
      <c r="P92">
        <v>15972</v>
      </c>
      <c r="Q92">
        <v>26135</v>
      </c>
      <c r="R92">
        <v>650</v>
      </c>
      <c r="S92">
        <v>81</v>
      </c>
      <c r="T92">
        <v>1147</v>
      </c>
      <c r="U92">
        <v>47480</v>
      </c>
      <c r="V92">
        <v>4419</v>
      </c>
      <c r="W92">
        <v>194</v>
      </c>
      <c r="X92">
        <v>457</v>
      </c>
      <c r="Y92">
        <v>2211</v>
      </c>
      <c r="Z92">
        <v>22</v>
      </c>
      <c r="AA92">
        <v>2233</v>
      </c>
    </row>
    <row r="93" spans="1:27" x14ac:dyDescent="0.3">
      <c r="A93">
        <v>8</v>
      </c>
      <c r="B93" t="s">
        <v>53</v>
      </c>
      <c r="C93">
        <v>2026</v>
      </c>
      <c r="D93">
        <v>8</v>
      </c>
      <c r="E93" t="s">
        <v>34</v>
      </c>
      <c r="F93">
        <v>1211267</v>
      </c>
      <c r="G93">
        <v>0.85270000000000001</v>
      </c>
      <c r="H93">
        <v>41.6</v>
      </c>
      <c r="I93">
        <v>0.91830000000000001</v>
      </c>
      <c r="J93">
        <v>1418903</v>
      </c>
      <c r="K93">
        <v>0.63219999999999998</v>
      </c>
      <c r="L93">
        <v>0.87350000000000005</v>
      </c>
      <c r="M93">
        <v>128</v>
      </c>
      <c r="N93">
        <v>6178</v>
      </c>
      <c r="O93">
        <v>3148</v>
      </c>
      <c r="P93">
        <v>12241</v>
      </c>
      <c r="Q93">
        <v>3249</v>
      </c>
      <c r="R93">
        <v>1794</v>
      </c>
      <c r="S93">
        <v>39</v>
      </c>
      <c r="T93">
        <v>580</v>
      </c>
      <c r="U93">
        <v>39936</v>
      </c>
      <c r="V93">
        <v>581</v>
      </c>
      <c r="W93">
        <v>934</v>
      </c>
      <c r="X93">
        <v>78</v>
      </c>
      <c r="Y93">
        <v>728</v>
      </c>
      <c r="Z93">
        <v>192</v>
      </c>
      <c r="AA93">
        <v>920</v>
      </c>
    </row>
    <row r="94" spans="1:27" x14ac:dyDescent="0.3">
      <c r="A94">
        <v>8</v>
      </c>
      <c r="B94" t="s">
        <v>53</v>
      </c>
      <c r="C94">
        <v>2026</v>
      </c>
      <c r="D94">
        <v>9</v>
      </c>
      <c r="E94" t="s">
        <v>35</v>
      </c>
      <c r="F94">
        <v>796149</v>
      </c>
      <c r="G94">
        <v>0.88100000000000001</v>
      </c>
      <c r="H94">
        <v>18.2</v>
      </c>
      <c r="I94">
        <v>0.89439999999999997</v>
      </c>
      <c r="J94">
        <v>960452</v>
      </c>
      <c r="K94">
        <v>0.97140000000000004</v>
      </c>
      <c r="L94">
        <v>0.86399999999999999</v>
      </c>
      <c r="M94">
        <v>31</v>
      </c>
      <c r="N94">
        <v>9068</v>
      </c>
      <c r="O94">
        <v>6148</v>
      </c>
      <c r="P94">
        <v>15915</v>
      </c>
      <c r="Q94">
        <v>19151</v>
      </c>
      <c r="R94">
        <v>1110</v>
      </c>
      <c r="S94">
        <v>48</v>
      </c>
      <c r="T94">
        <v>185</v>
      </c>
      <c r="U94">
        <v>25828</v>
      </c>
      <c r="V94">
        <v>3406</v>
      </c>
      <c r="W94">
        <v>923</v>
      </c>
      <c r="X94">
        <v>388</v>
      </c>
      <c r="Y94">
        <v>1144</v>
      </c>
      <c r="Z94">
        <v>27</v>
      </c>
      <c r="AA94">
        <v>1171</v>
      </c>
    </row>
    <row r="95" spans="1:27" x14ac:dyDescent="0.3">
      <c r="A95">
        <v>8</v>
      </c>
      <c r="B95" t="s">
        <v>53</v>
      </c>
      <c r="C95">
        <v>2026</v>
      </c>
      <c r="D95">
        <v>10</v>
      </c>
      <c r="E95" t="s">
        <v>40</v>
      </c>
      <c r="F95">
        <v>338023</v>
      </c>
      <c r="G95">
        <v>0.89759999999999995</v>
      </c>
      <c r="H95">
        <v>97.1</v>
      </c>
      <c r="I95">
        <v>0.90169999999999995</v>
      </c>
      <c r="J95">
        <v>412919</v>
      </c>
      <c r="K95">
        <v>0.30030000000000001</v>
      </c>
      <c r="L95">
        <v>0.8387</v>
      </c>
      <c r="M95">
        <v>173</v>
      </c>
      <c r="N95">
        <v>7409</v>
      </c>
      <c r="O95">
        <v>3754</v>
      </c>
      <c r="P95">
        <v>16655</v>
      </c>
      <c r="Q95">
        <v>40543</v>
      </c>
      <c r="R95">
        <v>1325</v>
      </c>
      <c r="S95">
        <v>64</v>
      </c>
      <c r="T95">
        <v>796</v>
      </c>
      <c r="U95">
        <v>39961</v>
      </c>
      <c r="V95">
        <v>4817</v>
      </c>
      <c r="W95">
        <v>589</v>
      </c>
      <c r="X95">
        <v>178</v>
      </c>
      <c r="Y95">
        <v>1427</v>
      </c>
      <c r="Z95">
        <v>34</v>
      </c>
      <c r="AA95">
        <v>1461</v>
      </c>
    </row>
    <row r="96" spans="1:27" x14ac:dyDescent="0.3">
      <c r="A96">
        <v>8</v>
      </c>
      <c r="B96" t="s">
        <v>53</v>
      </c>
      <c r="C96">
        <v>2026</v>
      </c>
      <c r="D96">
        <v>11</v>
      </c>
      <c r="E96" t="s">
        <v>41</v>
      </c>
      <c r="F96">
        <v>1214965</v>
      </c>
      <c r="G96">
        <v>0.9163</v>
      </c>
      <c r="H96">
        <v>33.6</v>
      </c>
      <c r="I96">
        <v>0.92100000000000004</v>
      </c>
      <c r="J96">
        <v>1073303</v>
      </c>
      <c r="K96">
        <v>0.74029999999999996</v>
      </c>
      <c r="L96">
        <v>0.58109999999999995</v>
      </c>
      <c r="M96">
        <v>77</v>
      </c>
      <c r="N96">
        <v>5214</v>
      </c>
      <c r="O96">
        <v>6425</v>
      </c>
      <c r="P96">
        <v>16846</v>
      </c>
      <c r="Q96">
        <v>41914</v>
      </c>
      <c r="R96">
        <v>1549</v>
      </c>
      <c r="S96">
        <v>58</v>
      </c>
      <c r="T96">
        <v>1412</v>
      </c>
      <c r="U96">
        <v>24184</v>
      </c>
      <c r="V96">
        <v>4545</v>
      </c>
      <c r="W96">
        <v>263</v>
      </c>
      <c r="X96">
        <v>361</v>
      </c>
      <c r="Y96">
        <v>2917</v>
      </c>
      <c r="Z96">
        <v>57</v>
      </c>
      <c r="AA96">
        <v>2974</v>
      </c>
    </row>
    <row r="97" spans="1:27" x14ac:dyDescent="0.3">
      <c r="A97">
        <v>8</v>
      </c>
      <c r="B97" t="s">
        <v>53</v>
      </c>
      <c r="C97">
        <v>2026</v>
      </c>
      <c r="D97">
        <v>12</v>
      </c>
      <c r="E97" t="s">
        <v>42</v>
      </c>
      <c r="F97">
        <v>1327838</v>
      </c>
      <c r="G97">
        <v>0.92069999999999996</v>
      </c>
      <c r="H97">
        <v>23.1</v>
      </c>
      <c r="I97">
        <v>0.90539999999999998</v>
      </c>
      <c r="J97">
        <v>212174</v>
      </c>
      <c r="K97">
        <v>0.26700000000000002</v>
      </c>
      <c r="L97">
        <v>0.66110000000000002</v>
      </c>
      <c r="M97">
        <v>41</v>
      </c>
      <c r="N97">
        <v>4641</v>
      </c>
      <c r="O97">
        <v>10084</v>
      </c>
      <c r="P97">
        <v>9050</v>
      </c>
      <c r="Q97">
        <v>45600</v>
      </c>
      <c r="R97">
        <v>1532</v>
      </c>
      <c r="S97">
        <v>39</v>
      </c>
      <c r="T97">
        <v>621</v>
      </c>
      <c r="U97">
        <v>14416</v>
      </c>
      <c r="V97">
        <v>4933</v>
      </c>
      <c r="W97">
        <v>508</v>
      </c>
      <c r="X97">
        <v>43</v>
      </c>
      <c r="Y97">
        <v>510</v>
      </c>
      <c r="Z97">
        <v>158</v>
      </c>
      <c r="AA97">
        <v>668</v>
      </c>
    </row>
    <row r="98" spans="1:27" x14ac:dyDescent="0.3">
      <c r="A98">
        <v>9</v>
      </c>
      <c r="B98" t="s">
        <v>54</v>
      </c>
      <c r="C98">
        <v>2026</v>
      </c>
      <c r="D98">
        <v>1</v>
      </c>
      <c r="E98" t="s">
        <v>27</v>
      </c>
      <c r="F98">
        <v>889114</v>
      </c>
      <c r="G98">
        <v>0.85070000000000001</v>
      </c>
      <c r="H98">
        <v>11.2</v>
      </c>
      <c r="I98">
        <v>0.9385</v>
      </c>
      <c r="J98">
        <v>1206873</v>
      </c>
      <c r="K98">
        <v>0.24679999999999999</v>
      </c>
      <c r="L98">
        <v>0.77610000000000001</v>
      </c>
      <c r="M98">
        <v>180</v>
      </c>
      <c r="N98">
        <v>4216</v>
      </c>
      <c r="O98">
        <v>14717</v>
      </c>
      <c r="P98">
        <v>12945</v>
      </c>
      <c r="Q98">
        <v>49315</v>
      </c>
      <c r="R98">
        <v>1173</v>
      </c>
      <c r="S98">
        <v>57</v>
      </c>
      <c r="T98">
        <v>1275</v>
      </c>
      <c r="U98">
        <v>25375</v>
      </c>
      <c r="V98">
        <v>3182</v>
      </c>
      <c r="W98">
        <v>558</v>
      </c>
      <c r="X98">
        <v>436</v>
      </c>
      <c r="Y98">
        <v>1355</v>
      </c>
      <c r="Z98">
        <v>179</v>
      </c>
      <c r="AA98">
        <v>1534</v>
      </c>
    </row>
    <row r="99" spans="1:27" x14ac:dyDescent="0.3">
      <c r="A99">
        <v>9</v>
      </c>
      <c r="B99" t="s">
        <v>54</v>
      </c>
      <c r="C99">
        <v>2026</v>
      </c>
      <c r="D99">
        <v>2</v>
      </c>
      <c r="E99" t="s">
        <v>28</v>
      </c>
      <c r="F99">
        <v>563462</v>
      </c>
      <c r="G99">
        <v>0.94269999999999998</v>
      </c>
      <c r="H99">
        <v>76.400000000000006</v>
      </c>
      <c r="I99">
        <v>0.9637</v>
      </c>
      <c r="J99">
        <v>204763</v>
      </c>
      <c r="K99">
        <v>0.91110000000000002</v>
      </c>
      <c r="L99">
        <v>0.77759999999999996</v>
      </c>
      <c r="M99">
        <v>106</v>
      </c>
      <c r="N99">
        <v>8557</v>
      </c>
      <c r="O99">
        <v>1080</v>
      </c>
      <c r="P99">
        <v>6690</v>
      </c>
      <c r="Q99">
        <v>20647</v>
      </c>
      <c r="R99">
        <v>672</v>
      </c>
      <c r="S99">
        <v>30</v>
      </c>
      <c r="T99">
        <v>469</v>
      </c>
      <c r="U99">
        <v>39407</v>
      </c>
      <c r="V99">
        <v>3617</v>
      </c>
      <c r="W99">
        <v>490</v>
      </c>
      <c r="X99">
        <v>382</v>
      </c>
      <c r="Y99">
        <v>2391</v>
      </c>
      <c r="Z99">
        <v>71</v>
      </c>
      <c r="AA99">
        <v>2462</v>
      </c>
    </row>
    <row r="100" spans="1:27" x14ac:dyDescent="0.3">
      <c r="A100">
        <v>9</v>
      </c>
      <c r="B100" t="s">
        <v>54</v>
      </c>
      <c r="C100">
        <v>2026</v>
      </c>
      <c r="D100">
        <v>3</v>
      </c>
      <c r="E100" t="s">
        <v>29</v>
      </c>
      <c r="F100">
        <v>781044</v>
      </c>
      <c r="G100">
        <v>0.92090000000000005</v>
      </c>
      <c r="H100">
        <v>83.7</v>
      </c>
      <c r="I100">
        <v>0.91190000000000004</v>
      </c>
      <c r="J100">
        <v>1302629</v>
      </c>
      <c r="K100">
        <v>0.91269999999999996</v>
      </c>
      <c r="L100">
        <v>0.65880000000000005</v>
      </c>
      <c r="M100">
        <v>56</v>
      </c>
      <c r="N100">
        <v>7063</v>
      </c>
      <c r="O100">
        <v>4594</v>
      </c>
      <c r="P100">
        <v>4103</v>
      </c>
      <c r="Q100">
        <v>30663</v>
      </c>
      <c r="R100">
        <v>194</v>
      </c>
      <c r="S100">
        <v>79</v>
      </c>
      <c r="T100">
        <v>615</v>
      </c>
      <c r="U100">
        <v>30284</v>
      </c>
      <c r="V100">
        <v>4302</v>
      </c>
      <c r="W100">
        <v>561</v>
      </c>
      <c r="X100">
        <v>407</v>
      </c>
      <c r="Y100">
        <v>2182</v>
      </c>
      <c r="Z100">
        <v>116</v>
      </c>
      <c r="AA100">
        <v>2298</v>
      </c>
    </row>
    <row r="101" spans="1:27" x14ac:dyDescent="0.3">
      <c r="A101">
        <v>9</v>
      </c>
      <c r="B101" t="s">
        <v>54</v>
      </c>
      <c r="C101">
        <v>2026</v>
      </c>
      <c r="D101">
        <v>4</v>
      </c>
      <c r="E101" t="s">
        <v>30</v>
      </c>
      <c r="F101">
        <v>781776</v>
      </c>
      <c r="G101">
        <v>0.9415</v>
      </c>
      <c r="H101">
        <v>53.1</v>
      </c>
      <c r="I101">
        <v>0.97109999999999996</v>
      </c>
      <c r="J101">
        <v>1111701</v>
      </c>
      <c r="K101">
        <v>0.53869999999999996</v>
      </c>
      <c r="L101">
        <v>0.90600000000000003</v>
      </c>
      <c r="M101">
        <v>155</v>
      </c>
      <c r="N101">
        <v>9420</v>
      </c>
      <c r="O101">
        <v>3947</v>
      </c>
      <c r="P101">
        <v>16874</v>
      </c>
      <c r="Q101">
        <v>36295</v>
      </c>
      <c r="R101">
        <v>747</v>
      </c>
      <c r="S101">
        <v>97</v>
      </c>
      <c r="T101">
        <v>695</v>
      </c>
      <c r="U101">
        <v>14640</v>
      </c>
      <c r="V101">
        <v>4511</v>
      </c>
      <c r="W101">
        <v>253</v>
      </c>
      <c r="X101">
        <v>320</v>
      </c>
      <c r="Y101">
        <v>977</v>
      </c>
      <c r="Z101">
        <v>121</v>
      </c>
      <c r="AA101">
        <v>1098</v>
      </c>
    </row>
    <row r="102" spans="1:27" x14ac:dyDescent="0.3">
      <c r="A102">
        <v>9</v>
      </c>
      <c r="B102" t="s">
        <v>54</v>
      </c>
      <c r="C102">
        <v>2026</v>
      </c>
      <c r="D102">
        <v>5</v>
      </c>
      <c r="E102" t="s">
        <v>31</v>
      </c>
      <c r="F102">
        <v>1332627</v>
      </c>
      <c r="G102">
        <v>0.98540000000000005</v>
      </c>
      <c r="H102">
        <v>74.8</v>
      </c>
      <c r="I102">
        <v>0.93010000000000004</v>
      </c>
      <c r="J102">
        <v>1459742</v>
      </c>
      <c r="K102">
        <v>0.9698</v>
      </c>
      <c r="L102">
        <v>0.9274</v>
      </c>
      <c r="M102">
        <v>186</v>
      </c>
      <c r="N102">
        <v>2762</v>
      </c>
      <c r="O102">
        <v>14381</v>
      </c>
      <c r="P102">
        <v>16844</v>
      </c>
      <c r="Q102">
        <v>27297</v>
      </c>
      <c r="R102">
        <v>1875</v>
      </c>
      <c r="S102">
        <v>37</v>
      </c>
      <c r="T102">
        <v>966</v>
      </c>
      <c r="U102">
        <v>26106</v>
      </c>
      <c r="V102">
        <v>4520</v>
      </c>
      <c r="W102">
        <v>865</v>
      </c>
      <c r="X102">
        <v>173</v>
      </c>
      <c r="Y102">
        <v>1073</v>
      </c>
      <c r="Z102">
        <v>47</v>
      </c>
      <c r="AA102">
        <v>1120</v>
      </c>
    </row>
    <row r="103" spans="1:27" x14ac:dyDescent="0.3">
      <c r="A103">
        <v>9</v>
      </c>
      <c r="B103" t="s">
        <v>54</v>
      </c>
      <c r="C103">
        <v>2026</v>
      </c>
      <c r="D103">
        <v>6</v>
      </c>
      <c r="E103" t="s">
        <v>32</v>
      </c>
      <c r="F103">
        <v>603867</v>
      </c>
      <c r="G103">
        <v>0.93820000000000003</v>
      </c>
      <c r="H103">
        <v>24.3</v>
      </c>
      <c r="I103">
        <v>0.95940000000000003</v>
      </c>
      <c r="J103">
        <v>838118</v>
      </c>
      <c r="K103">
        <v>0.96060000000000001</v>
      </c>
      <c r="L103">
        <v>0.87209999999999999</v>
      </c>
      <c r="M103">
        <v>59</v>
      </c>
      <c r="N103">
        <v>8523</v>
      </c>
      <c r="O103">
        <v>8419</v>
      </c>
      <c r="P103">
        <v>11213</v>
      </c>
      <c r="Q103">
        <v>40871</v>
      </c>
      <c r="R103">
        <v>1957</v>
      </c>
      <c r="S103">
        <v>75</v>
      </c>
      <c r="T103">
        <v>356</v>
      </c>
      <c r="U103">
        <v>13244</v>
      </c>
      <c r="V103">
        <v>1046</v>
      </c>
      <c r="W103">
        <v>596</v>
      </c>
      <c r="X103">
        <v>15</v>
      </c>
      <c r="Y103">
        <v>1057</v>
      </c>
      <c r="Z103">
        <v>26</v>
      </c>
      <c r="AA103">
        <v>1083</v>
      </c>
    </row>
    <row r="104" spans="1:27" x14ac:dyDescent="0.3">
      <c r="A104">
        <v>9</v>
      </c>
      <c r="B104" t="s">
        <v>54</v>
      </c>
      <c r="C104">
        <v>2026</v>
      </c>
      <c r="D104">
        <v>7</v>
      </c>
      <c r="E104" t="s">
        <v>33</v>
      </c>
      <c r="F104">
        <v>1224483</v>
      </c>
      <c r="G104">
        <v>0.95</v>
      </c>
      <c r="H104">
        <v>75.599999999999994</v>
      </c>
      <c r="I104">
        <v>0.98780000000000001</v>
      </c>
      <c r="J104">
        <v>1814261</v>
      </c>
      <c r="K104">
        <v>0.52929999999999999</v>
      </c>
      <c r="L104">
        <v>0.95440000000000003</v>
      </c>
      <c r="M104">
        <v>64</v>
      </c>
      <c r="N104">
        <v>3849</v>
      </c>
      <c r="O104">
        <v>3507</v>
      </c>
      <c r="P104">
        <v>19247</v>
      </c>
      <c r="Q104">
        <v>33526</v>
      </c>
      <c r="R104">
        <v>1994</v>
      </c>
      <c r="S104">
        <v>62</v>
      </c>
      <c r="T104">
        <v>481</v>
      </c>
      <c r="U104">
        <v>20099</v>
      </c>
      <c r="V104">
        <v>1310</v>
      </c>
      <c r="W104">
        <v>394</v>
      </c>
      <c r="X104">
        <v>472</v>
      </c>
      <c r="Y104">
        <v>1244</v>
      </c>
      <c r="Z104">
        <v>162</v>
      </c>
      <c r="AA104">
        <v>1406</v>
      </c>
    </row>
    <row r="105" spans="1:27" x14ac:dyDescent="0.3">
      <c r="A105">
        <v>9</v>
      </c>
      <c r="B105" t="s">
        <v>54</v>
      </c>
      <c r="C105">
        <v>2026</v>
      </c>
      <c r="D105">
        <v>8</v>
      </c>
      <c r="E105" t="s">
        <v>34</v>
      </c>
      <c r="F105">
        <v>272743</v>
      </c>
      <c r="G105">
        <v>0.9698</v>
      </c>
      <c r="H105">
        <v>81.3</v>
      </c>
      <c r="I105">
        <v>0.98499999999999999</v>
      </c>
      <c r="J105">
        <v>1240627</v>
      </c>
      <c r="K105">
        <v>0.53949999999999998</v>
      </c>
      <c r="L105">
        <v>0.50729999999999997</v>
      </c>
      <c r="M105">
        <v>72</v>
      </c>
      <c r="N105">
        <v>7793</v>
      </c>
      <c r="O105">
        <v>13110</v>
      </c>
      <c r="P105">
        <v>3807</v>
      </c>
      <c r="Q105">
        <v>46612</v>
      </c>
      <c r="R105">
        <v>1724</v>
      </c>
      <c r="S105">
        <v>53</v>
      </c>
      <c r="T105">
        <v>1131</v>
      </c>
      <c r="U105">
        <v>9927</v>
      </c>
      <c r="V105">
        <v>1462</v>
      </c>
      <c r="W105">
        <v>925</v>
      </c>
      <c r="X105">
        <v>44</v>
      </c>
      <c r="Y105">
        <v>1877</v>
      </c>
      <c r="Z105">
        <v>104</v>
      </c>
      <c r="AA105">
        <v>1981</v>
      </c>
    </row>
    <row r="106" spans="1:27" x14ac:dyDescent="0.3">
      <c r="A106">
        <v>9</v>
      </c>
      <c r="B106" t="s">
        <v>54</v>
      </c>
      <c r="C106">
        <v>2026</v>
      </c>
      <c r="D106">
        <v>9</v>
      </c>
      <c r="E106" t="s">
        <v>35</v>
      </c>
      <c r="F106">
        <v>490382</v>
      </c>
      <c r="G106">
        <v>0.98280000000000001</v>
      </c>
      <c r="H106">
        <v>59.7</v>
      </c>
      <c r="I106">
        <v>0.85980000000000001</v>
      </c>
      <c r="J106">
        <v>680807</v>
      </c>
      <c r="K106">
        <v>0.56520000000000004</v>
      </c>
      <c r="L106">
        <v>0.73370000000000002</v>
      </c>
      <c r="M106">
        <v>69</v>
      </c>
      <c r="N106">
        <v>5230</v>
      </c>
      <c r="O106">
        <v>9431</v>
      </c>
      <c r="P106">
        <v>17180</v>
      </c>
      <c r="Q106">
        <v>27198</v>
      </c>
      <c r="R106">
        <v>1093</v>
      </c>
      <c r="S106">
        <v>13</v>
      </c>
      <c r="T106">
        <v>210</v>
      </c>
      <c r="U106">
        <v>25222</v>
      </c>
      <c r="V106">
        <v>2575</v>
      </c>
      <c r="W106">
        <v>267</v>
      </c>
      <c r="X106">
        <v>230</v>
      </c>
      <c r="Y106">
        <v>2453</v>
      </c>
      <c r="Z106">
        <v>166</v>
      </c>
      <c r="AA106">
        <v>2619</v>
      </c>
    </row>
    <row r="107" spans="1:27" x14ac:dyDescent="0.3">
      <c r="A107">
        <v>9</v>
      </c>
      <c r="B107" t="s">
        <v>54</v>
      </c>
      <c r="C107">
        <v>2026</v>
      </c>
      <c r="D107">
        <v>10</v>
      </c>
      <c r="E107" t="s">
        <v>40</v>
      </c>
      <c r="F107">
        <v>637130</v>
      </c>
      <c r="G107">
        <v>0.95289999999999997</v>
      </c>
      <c r="H107">
        <v>59.4</v>
      </c>
      <c r="I107">
        <v>0.86770000000000003</v>
      </c>
      <c r="J107">
        <v>598087</v>
      </c>
      <c r="K107">
        <v>0.29089999999999999</v>
      </c>
      <c r="L107">
        <v>0.60589999999999999</v>
      </c>
      <c r="M107">
        <v>154</v>
      </c>
      <c r="N107">
        <v>3764</v>
      </c>
      <c r="O107">
        <v>951</v>
      </c>
      <c r="P107">
        <v>7044</v>
      </c>
      <c r="Q107">
        <v>6927</v>
      </c>
      <c r="R107">
        <v>515</v>
      </c>
      <c r="S107">
        <v>44</v>
      </c>
      <c r="T107">
        <v>578</v>
      </c>
      <c r="U107">
        <v>39100</v>
      </c>
      <c r="V107">
        <v>4990</v>
      </c>
      <c r="W107">
        <v>862</v>
      </c>
      <c r="X107">
        <v>89</v>
      </c>
      <c r="Y107">
        <v>1240</v>
      </c>
      <c r="Z107">
        <v>141</v>
      </c>
      <c r="AA107">
        <v>1381</v>
      </c>
    </row>
    <row r="108" spans="1:27" x14ac:dyDescent="0.3">
      <c r="A108">
        <v>9</v>
      </c>
      <c r="B108" t="s">
        <v>54</v>
      </c>
      <c r="C108">
        <v>2026</v>
      </c>
      <c r="D108">
        <v>11</v>
      </c>
      <c r="E108" t="s">
        <v>41</v>
      </c>
      <c r="F108">
        <v>1190203</v>
      </c>
      <c r="G108">
        <v>0.94740000000000002</v>
      </c>
      <c r="H108">
        <v>9.1</v>
      </c>
      <c r="I108">
        <v>0.95040000000000002</v>
      </c>
      <c r="J108">
        <v>1706050</v>
      </c>
      <c r="K108">
        <v>0.2545</v>
      </c>
      <c r="L108">
        <v>0.64249999999999996</v>
      </c>
      <c r="M108">
        <v>183</v>
      </c>
      <c r="N108">
        <v>1999</v>
      </c>
      <c r="O108">
        <v>4377</v>
      </c>
      <c r="P108">
        <v>8864</v>
      </c>
      <c r="Q108">
        <v>2180</v>
      </c>
      <c r="R108">
        <v>1885</v>
      </c>
      <c r="S108">
        <v>2</v>
      </c>
      <c r="T108">
        <v>1394</v>
      </c>
      <c r="U108">
        <v>21758</v>
      </c>
      <c r="V108">
        <v>1425</v>
      </c>
      <c r="W108">
        <v>290</v>
      </c>
      <c r="X108">
        <v>55</v>
      </c>
      <c r="Y108">
        <v>1305</v>
      </c>
      <c r="Z108">
        <v>149</v>
      </c>
      <c r="AA108">
        <v>1454</v>
      </c>
    </row>
    <row r="109" spans="1:27" x14ac:dyDescent="0.3">
      <c r="A109">
        <v>9</v>
      </c>
      <c r="B109" t="s">
        <v>54</v>
      </c>
      <c r="C109">
        <v>2026</v>
      </c>
      <c r="D109">
        <v>12</v>
      </c>
      <c r="E109" t="s">
        <v>42</v>
      </c>
      <c r="F109">
        <v>1340122</v>
      </c>
      <c r="G109">
        <v>0.94389999999999996</v>
      </c>
      <c r="H109">
        <v>72.599999999999994</v>
      </c>
      <c r="I109">
        <v>0.94</v>
      </c>
      <c r="J109">
        <v>1835780</v>
      </c>
      <c r="K109">
        <v>0.67689999999999995</v>
      </c>
      <c r="L109">
        <v>0.89100000000000001</v>
      </c>
      <c r="M109">
        <v>19</v>
      </c>
      <c r="N109">
        <v>5905</v>
      </c>
      <c r="O109">
        <v>3153</v>
      </c>
      <c r="P109">
        <v>5265</v>
      </c>
      <c r="Q109">
        <v>14257</v>
      </c>
      <c r="R109">
        <v>604</v>
      </c>
      <c r="S109">
        <v>98</v>
      </c>
      <c r="T109">
        <v>373</v>
      </c>
      <c r="U109">
        <v>35217</v>
      </c>
      <c r="V109">
        <v>4352</v>
      </c>
      <c r="W109">
        <v>839</v>
      </c>
      <c r="X109">
        <v>439</v>
      </c>
      <c r="Y109">
        <v>2899</v>
      </c>
      <c r="Z109">
        <v>104</v>
      </c>
      <c r="AA109">
        <v>3003</v>
      </c>
    </row>
    <row r="110" spans="1:27" x14ac:dyDescent="0.3">
      <c r="A110">
        <v>10</v>
      </c>
      <c r="B110" t="s">
        <v>55</v>
      </c>
      <c r="C110">
        <v>2026</v>
      </c>
      <c r="D110">
        <v>1</v>
      </c>
      <c r="E110" t="s">
        <v>27</v>
      </c>
      <c r="F110">
        <v>268062</v>
      </c>
      <c r="G110">
        <v>0.88680000000000003</v>
      </c>
      <c r="H110">
        <v>83.8</v>
      </c>
      <c r="I110">
        <v>0.92430000000000001</v>
      </c>
      <c r="J110">
        <v>1443368</v>
      </c>
      <c r="K110">
        <v>0.6179</v>
      </c>
      <c r="L110">
        <v>0.72499999999999998</v>
      </c>
      <c r="M110">
        <v>126</v>
      </c>
      <c r="N110">
        <v>6016</v>
      </c>
      <c r="O110">
        <v>1443</v>
      </c>
      <c r="P110">
        <v>12393</v>
      </c>
      <c r="Q110">
        <v>26118</v>
      </c>
      <c r="R110">
        <v>652</v>
      </c>
      <c r="S110">
        <v>66</v>
      </c>
      <c r="T110">
        <v>1335</v>
      </c>
      <c r="U110">
        <v>14797</v>
      </c>
      <c r="V110">
        <v>4808</v>
      </c>
      <c r="W110">
        <v>124</v>
      </c>
      <c r="X110">
        <v>447</v>
      </c>
      <c r="Y110">
        <v>2013</v>
      </c>
      <c r="Z110">
        <v>76</v>
      </c>
      <c r="AA110">
        <v>2089</v>
      </c>
    </row>
    <row r="111" spans="1:27" x14ac:dyDescent="0.3">
      <c r="A111">
        <v>10</v>
      </c>
      <c r="B111" t="s">
        <v>55</v>
      </c>
      <c r="C111">
        <v>2026</v>
      </c>
      <c r="D111">
        <v>2</v>
      </c>
      <c r="E111" t="s">
        <v>28</v>
      </c>
      <c r="F111">
        <v>225168</v>
      </c>
      <c r="G111">
        <v>0.88619999999999999</v>
      </c>
      <c r="H111">
        <v>63.1</v>
      </c>
      <c r="I111">
        <v>0.96209999999999996</v>
      </c>
      <c r="J111">
        <v>238676</v>
      </c>
      <c r="K111">
        <v>0.73619999999999997</v>
      </c>
      <c r="L111">
        <v>0.87160000000000004</v>
      </c>
      <c r="M111">
        <v>125</v>
      </c>
      <c r="N111">
        <v>9626</v>
      </c>
      <c r="O111">
        <v>13650</v>
      </c>
      <c r="P111">
        <v>18425</v>
      </c>
      <c r="Q111">
        <v>37369</v>
      </c>
      <c r="R111">
        <v>531</v>
      </c>
      <c r="S111">
        <v>17</v>
      </c>
      <c r="T111">
        <v>659</v>
      </c>
      <c r="U111">
        <v>11697</v>
      </c>
      <c r="V111">
        <v>2593</v>
      </c>
      <c r="W111">
        <v>778</v>
      </c>
      <c r="X111">
        <v>478</v>
      </c>
      <c r="Y111">
        <v>1272</v>
      </c>
      <c r="Z111">
        <v>89</v>
      </c>
      <c r="AA111">
        <v>1361</v>
      </c>
    </row>
    <row r="112" spans="1:27" x14ac:dyDescent="0.3">
      <c r="A112">
        <v>10</v>
      </c>
      <c r="B112" t="s">
        <v>55</v>
      </c>
      <c r="C112">
        <v>2026</v>
      </c>
      <c r="D112">
        <v>3</v>
      </c>
      <c r="E112" t="s">
        <v>29</v>
      </c>
      <c r="F112">
        <v>446392</v>
      </c>
      <c r="G112">
        <v>0.92649999999999999</v>
      </c>
      <c r="H112">
        <v>68.400000000000006</v>
      </c>
      <c r="I112">
        <v>0.9204</v>
      </c>
      <c r="J112">
        <v>1664383</v>
      </c>
      <c r="K112">
        <v>0.48530000000000001</v>
      </c>
      <c r="L112">
        <v>0.87870000000000004</v>
      </c>
      <c r="M112">
        <v>37</v>
      </c>
      <c r="N112">
        <v>2703</v>
      </c>
      <c r="O112">
        <v>10322</v>
      </c>
      <c r="P112">
        <v>7261</v>
      </c>
      <c r="Q112">
        <v>12551</v>
      </c>
      <c r="R112">
        <v>1253</v>
      </c>
      <c r="S112">
        <v>43</v>
      </c>
      <c r="T112">
        <v>1212</v>
      </c>
      <c r="U112">
        <v>12103</v>
      </c>
      <c r="V112">
        <v>3096</v>
      </c>
      <c r="W112">
        <v>209</v>
      </c>
      <c r="X112">
        <v>41</v>
      </c>
      <c r="Y112">
        <v>703</v>
      </c>
      <c r="Z112">
        <v>15</v>
      </c>
      <c r="AA112">
        <v>718</v>
      </c>
    </row>
    <row r="113" spans="1:27" x14ac:dyDescent="0.3">
      <c r="A113">
        <v>10</v>
      </c>
      <c r="B113" t="s">
        <v>55</v>
      </c>
      <c r="C113">
        <v>2026</v>
      </c>
      <c r="D113">
        <v>4</v>
      </c>
      <c r="E113" t="s">
        <v>30</v>
      </c>
      <c r="F113">
        <v>297627</v>
      </c>
      <c r="G113">
        <v>0.85929999999999995</v>
      </c>
      <c r="H113">
        <v>47.5</v>
      </c>
      <c r="I113">
        <v>0.86799999999999999</v>
      </c>
      <c r="J113">
        <v>672226</v>
      </c>
      <c r="K113">
        <v>0.66569999999999996</v>
      </c>
      <c r="L113">
        <v>0.75270000000000004</v>
      </c>
      <c r="M113">
        <v>59</v>
      </c>
      <c r="N113">
        <v>8265</v>
      </c>
      <c r="O113">
        <v>14334</v>
      </c>
      <c r="P113">
        <v>11494</v>
      </c>
      <c r="Q113">
        <v>25020</v>
      </c>
      <c r="R113">
        <v>335</v>
      </c>
      <c r="S113">
        <v>57</v>
      </c>
      <c r="T113">
        <v>520</v>
      </c>
      <c r="U113">
        <v>42131</v>
      </c>
      <c r="V113">
        <v>1343</v>
      </c>
      <c r="W113">
        <v>118</v>
      </c>
      <c r="X113">
        <v>113</v>
      </c>
      <c r="Y113">
        <v>1026</v>
      </c>
      <c r="Z113">
        <v>15</v>
      </c>
      <c r="AA113">
        <v>1041</v>
      </c>
    </row>
    <row r="114" spans="1:27" x14ac:dyDescent="0.3">
      <c r="A114">
        <v>10</v>
      </c>
      <c r="B114" t="s">
        <v>55</v>
      </c>
      <c r="C114">
        <v>2026</v>
      </c>
      <c r="D114">
        <v>5</v>
      </c>
      <c r="E114" t="s">
        <v>31</v>
      </c>
      <c r="F114">
        <v>1081311</v>
      </c>
      <c r="G114">
        <v>0.89500000000000002</v>
      </c>
      <c r="H114">
        <v>98.5</v>
      </c>
      <c r="I114">
        <v>0.85650000000000004</v>
      </c>
      <c r="J114">
        <v>566634</v>
      </c>
      <c r="K114">
        <v>0.82330000000000003</v>
      </c>
      <c r="L114">
        <v>0.87460000000000004</v>
      </c>
      <c r="M114">
        <v>139</v>
      </c>
      <c r="N114">
        <v>6908</v>
      </c>
      <c r="O114">
        <v>9874</v>
      </c>
      <c r="P114">
        <v>9419</v>
      </c>
      <c r="Q114">
        <v>29632</v>
      </c>
      <c r="R114">
        <v>1560</v>
      </c>
      <c r="S114">
        <v>21</v>
      </c>
      <c r="T114">
        <v>616</v>
      </c>
      <c r="U114">
        <v>49893</v>
      </c>
      <c r="V114">
        <v>3471</v>
      </c>
      <c r="W114">
        <v>872</v>
      </c>
      <c r="X114">
        <v>41</v>
      </c>
      <c r="Y114">
        <v>2027</v>
      </c>
      <c r="Z114">
        <v>51</v>
      </c>
      <c r="AA114">
        <v>2078</v>
      </c>
    </row>
    <row r="115" spans="1:27" x14ac:dyDescent="0.3">
      <c r="A115">
        <v>10</v>
      </c>
      <c r="B115" t="s">
        <v>55</v>
      </c>
      <c r="C115">
        <v>2026</v>
      </c>
      <c r="D115">
        <v>6</v>
      </c>
      <c r="E115" t="s">
        <v>32</v>
      </c>
      <c r="F115">
        <v>248103</v>
      </c>
      <c r="G115">
        <v>0.95579999999999998</v>
      </c>
      <c r="H115">
        <v>57.3</v>
      </c>
      <c r="I115">
        <v>0.86970000000000003</v>
      </c>
      <c r="J115">
        <v>1751594</v>
      </c>
      <c r="K115">
        <v>0.88500000000000001</v>
      </c>
      <c r="L115">
        <v>0.80469999999999997</v>
      </c>
      <c r="M115">
        <v>163</v>
      </c>
      <c r="N115">
        <v>3925</v>
      </c>
      <c r="O115">
        <v>12131</v>
      </c>
      <c r="P115">
        <v>11910</v>
      </c>
      <c r="Q115">
        <v>21608</v>
      </c>
      <c r="R115">
        <v>756</v>
      </c>
      <c r="S115">
        <v>60</v>
      </c>
      <c r="T115">
        <v>1495</v>
      </c>
      <c r="U115">
        <v>20615</v>
      </c>
      <c r="V115">
        <v>4471</v>
      </c>
      <c r="W115">
        <v>355</v>
      </c>
      <c r="X115">
        <v>235</v>
      </c>
      <c r="Y115">
        <v>544</v>
      </c>
      <c r="Z115">
        <v>84</v>
      </c>
      <c r="AA115">
        <v>628</v>
      </c>
    </row>
    <row r="116" spans="1:27" x14ac:dyDescent="0.3">
      <c r="A116">
        <v>10</v>
      </c>
      <c r="B116" t="s">
        <v>55</v>
      </c>
      <c r="C116">
        <v>2026</v>
      </c>
      <c r="D116">
        <v>7</v>
      </c>
      <c r="E116" t="s">
        <v>33</v>
      </c>
      <c r="F116">
        <v>1244899</v>
      </c>
      <c r="G116">
        <v>0.96460000000000001</v>
      </c>
      <c r="H116">
        <v>45</v>
      </c>
      <c r="I116">
        <v>0.96060000000000001</v>
      </c>
      <c r="J116">
        <v>1162606</v>
      </c>
      <c r="K116">
        <v>0.7722</v>
      </c>
      <c r="L116">
        <v>0.78939999999999999</v>
      </c>
      <c r="M116">
        <v>10</v>
      </c>
      <c r="N116">
        <v>5717</v>
      </c>
      <c r="O116">
        <v>3434</v>
      </c>
      <c r="P116">
        <v>17087</v>
      </c>
      <c r="Q116">
        <v>43179</v>
      </c>
      <c r="R116">
        <v>1097</v>
      </c>
      <c r="S116">
        <v>5</v>
      </c>
      <c r="T116">
        <v>184</v>
      </c>
      <c r="U116">
        <v>7650</v>
      </c>
      <c r="V116">
        <v>897</v>
      </c>
      <c r="W116">
        <v>876</v>
      </c>
      <c r="X116">
        <v>61</v>
      </c>
      <c r="Y116">
        <v>921</v>
      </c>
      <c r="Z116">
        <v>39</v>
      </c>
      <c r="AA116">
        <v>960</v>
      </c>
    </row>
    <row r="117" spans="1:27" x14ac:dyDescent="0.3">
      <c r="A117">
        <v>10</v>
      </c>
      <c r="B117" t="s">
        <v>55</v>
      </c>
      <c r="C117">
        <v>2026</v>
      </c>
      <c r="D117">
        <v>8</v>
      </c>
      <c r="E117" t="s">
        <v>34</v>
      </c>
      <c r="F117">
        <v>645123</v>
      </c>
      <c r="G117">
        <v>0.94410000000000005</v>
      </c>
      <c r="H117">
        <v>13.2</v>
      </c>
      <c r="I117">
        <v>0.9405</v>
      </c>
      <c r="J117">
        <v>1826149</v>
      </c>
      <c r="K117">
        <v>0.80620000000000003</v>
      </c>
      <c r="L117">
        <v>0.62390000000000001</v>
      </c>
      <c r="M117">
        <v>84</v>
      </c>
      <c r="N117">
        <v>3469</v>
      </c>
      <c r="O117">
        <v>4834</v>
      </c>
      <c r="P117">
        <v>18143</v>
      </c>
      <c r="Q117">
        <v>39029</v>
      </c>
      <c r="R117">
        <v>1353</v>
      </c>
      <c r="S117">
        <v>14</v>
      </c>
      <c r="T117">
        <v>1187</v>
      </c>
      <c r="U117">
        <v>9713</v>
      </c>
      <c r="V117">
        <v>4275</v>
      </c>
      <c r="W117">
        <v>270</v>
      </c>
      <c r="X117">
        <v>495</v>
      </c>
      <c r="Y117">
        <v>1190</v>
      </c>
      <c r="Z117">
        <v>20</v>
      </c>
      <c r="AA117">
        <v>1210</v>
      </c>
    </row>
    <row r="118" spans="1:27" x14ac:dyDescent="0.3">
      <c r="A118">
        <v>10</v>
      </c>
      <c r="B118" t="s">
        <v>55</v>
      </c>
      <c r="C118">
        <v>2026</v>
      </c>
      <c r="D118">
        <v>9</v>
      </c>
      <c r="E118" t="s">
        <v>35</v>
      </c>
      <c r="F118">
        <v>1405167</v>
      </c>
      <c r="G118">
        <v>0.96460000000000001</v>
      </c>
      <c r="H118">
        <v>14.8</v>
      </c>
      <c r="I118">
        <v>0.92789999999999995</v>
      </c>
      <c r="J118">
        <v>216752</v>
      </c>
      <c r="K118">
        <v>0.95350000000000001</v>
      </c>
      <c r="L118">
        <v>0.63490000000000002</v>
      </c>
      <c r="M118">
        <v>41</v>
      </c>
      <c r="N118">
        <v>2669</v>
      </c>
      <c r="O118">
        <v>5010</v>
      </c>
      <c r="P118">
        <v>775</v>
      </c>
      <c r="Q118">
        <v>18806</v>
      </c>
      <c r="R118">
        <v>679</v>
      </c>
      <c r="S118">
        <v>67</v>
      </c>
      <c r="T118">
        <v>1340</v>
      </c>
      <c r="U118">
        <v>26843</v>
      </c>
      <c r="V118">
        <v>3067</v>
      </c>
      <c r="W118">
        <v>273</v>
      </c>
      <c r="X118">
        <v>341</v>
      </c>
      <c r="Y118">
        <v>2918</v>
      </c>
      <c r="Z118">
        <v>94</v>
      </c>
      <c r="AA118">
        <v>3012</v>
      </c>
    </row>
    <row r="119" spans="1:27" x14ac:dyDescent="0.3">
      <c r="A119">
        <v>10</v>
      </c>
      <c r="B119" t="s">
        <v>55</v>
      </c>
      <c r="C119">
        <v>2026</v>
      </c>
      <c r="D119">
        <v>10</v>
      </c>
      <c r="E119" t="s">
        <v>40</v>
      </c>
      <c r="F119">
        <v>106945</v>
      </c>
      <c r="G119">
        <v>0.89680000000000004</v>
      </c>
      <c r="H119">
        <v>57.4</v>
      </c>
      <c r="I119">
        <v>0.96779999999999999</v>
      </c>
      <c r="J119">
        <v>1944907</v>
      </c>
      <c r="K119">
        <v>0.65429999999999999</v>
      </c>
      <c r="L119">
        <v>0.61380000000000001</v>
      </c>
      <c r="M119">
        <v>26</v>
      </c>
      <c r="N119">
        <v>3627</v>
      </c>
      <c r="O119">
        <v>12137</v>
      </c>
      <c r="P119">
        <v>4639</v>
      </c>
      <c r="Q119">
        <v>31513</v>
      </c>
      <c r="R119">
        <v>1753</v>
      </c>
      <c r="S119">
        <v>57</v>
      </c>
      <c r="T119">
        <v>1311</v>
      </c>
      <c r="U119">
        <v>22559</v>
      </c>
      <c r="V119">
        <v>4619</v>
      </c>
      <c r="W119">
        <v>722</v>
      </c>
      <c r="X119">
        <v>487</v>
      </c>
      <c r="Y119">
        <v>1045</v>
      </c>
      <c r="Z119">
        <v>17</v>
      </c>
      <c r="AA119">
        <v>1062</v>
      </c>
    </row>
    <row r="120" spans="1:27" x14ac:dyDescent="0.3">
      <c r="A120">
        <v>10</v>
      </c>
      <c r="B120" t="s">
        <v>55</v>
      </c>
      <c r="C120">
        <v>2026</v>
      </c>
      <c r="D120">
        <v>11</v>
      </c>
      <c r="E120" t="s">
        <v>41</v>
      </c>
      <c r="F120">
        <v>1292164</v>
      </c>
      <c r="G120">
        <v>0.98970000000000002</v>
      </c>
      <c r="H120">
        <v>20.7</v>
      </c>
      <c r="I120">
        <v>0.86960000000000004</v>
      </c>
      <c r="J120">
        <v>1937641</v>
      </c>
      <c r="K120">
        <v>0.66879999999999995</v>
      </c>
      <c r="L120">
        <v>0.97440000000000004</v>
      </c>
      <c r="M120">
        <v>192</v>
      </c>
      <c r="N120">
        <v>4997</v>
      </c>
      <c r="O120">
        <v>4433</v>
      </c>
      <c r="P120">
        <v>19600</v>
      </c>
      <c r="Q120">
        <v>26591</v>
      </c>
      <c r="R120">
        <v>1294</v>
      </c>
      <c r="S120">
        <v>60</v>
      </c>
      <c r="T120">
        <v>1358</v>
      </c>
      <c r="U120">
        <v>31142</v>
      </c>
      <c r="V120">
        <v>2393</v>
      </c>
      <c r="W120">
        <v>382</v>
      </c>
      <c r="X120">
        <v>281</v>
      </c>
      <c r="Y120">
        <v>1064</v>
      </c>
      <c r="Z120">
        <v>168</v>
      </c>
      <c r="AA120">
        <v>1232</v>
      </c>
    </row>
    <row r="121" spans="1:27" x14ac:dyDescent="0.3">
      <c r="A121">
        <v>10</v>
      </c>
      <c r="B121" t="s">
        <v>55</v>
      </c>
      <c r="C121">
        <v>2026</v>
      </c>
      <c r="D121">
        <v>12</v>
      </c>
      <c r="E121" t="s">
        <v>42</v>
      </c>
      <c r="F121">
        <v>1265093</v>
      </c>
      <c r="G121">
        <v>0.91010000000000002</v>
      </c>
      <c r="H121">
        <v>43.9</v>
      </c>
      <c r="I121">
        <v>0.91080000000000005</v>
      </c>
      <c r="J121">
        <v>1621790</v>
      </c>
      <c r="K121">
        <v>0.76359999999999995</v>
      </c>
      <c r="L121">
        <v>0.76049999999999995</v>
      </c>
      <c r="M121">
        <v>88</v>
      </c>
      <c r="N121">
        <v>8201</v>
      </c>
      <c r="O121">
        <v>13146</v>
      </c>
      <c r="P121">
        <v>15557</v>
      </c>
      <c r="Q121">
        <v>20396</v>
      </c>
      <c r="R121">
        <v>879</v>
      </c>
      <c r="S121">
        <v>93</v>
      </c>
      <c r="T121">
        <v>902</v>
      </c>
      <c r="U121">
        <v>42009</v>
      </c>
      <c r="V121">
        <v>2639</v>
      </c>
      <c r="W121">
        <v>354</v>
      </c>
      <c r="X121">
        <v>283</v>
      </c>
      <c r="Y121">
        <v>2756</v>
      </c>
      <c r="Z121">
        <v>177</v>
      </c>
      <c r="AA121">
        <v>2933</v>
      </c>
    </row>
    <row r="122" spans="1:27" x14ac:dyDescent="0.3">
      <c r="A122">
        <v>11</v>
      </c>
      <c r="B122" t="s">
        <v>56</v>
      </c>
      <c r="C122">
        <v>2026</v>
      </c>
      <c r="D122">
        <v>1</v>
      </c>
      <c r="E122" t="s">
        <v>27</v>
      </c>
      <c r="F122">
        <v>547519</v>
      </c>
      <c r="G122">
        <v>0.96009999999999995</v>
      </c>
      <c r="H122">
        <v>85.9</v>
      </c>
      <c r="I122">
        <v>0.89780000000000004</v>
      </c>
      <c r="J122">
        <v>58799</v>
      </c>
      <c r="K122">
        <v>0.63700000000000001</v>
      </c>
      <c r="L122">
        <v>0.7349</v>
      </c>
      <c r="M122">
        <v>75</v>
      </c>
      <c r="N122">
        <v>7039</v>
      </c>
      <c r="O122">
        <v>13740</v>
      </c>
      <c r="P122">
        <v>8277</v>
      </c>
      <c r="Q122">
        <v>49485</v>
      </c>
      <c r="R122">
        <v>642</v>
      </c>
      <c r="S122">
        <v>60</v>
      </c>
      <c r="T122">
        <v>903</v>
      </c>
      <c r="U122">
        <v>16621</v>
      </c>
      <c r="V122">
        <v>3977</v>
      </c>
      <c r="W122">
        <v>630</v>
      </c>
      <c r="X122">
        <v>276</v>
      </c>
      <c r="Y122">
        <v>975</v>
      </c>
      <c r="Z122">
        <v>155</v>
      </c>
      <c r="AA122">
        <v>1130</v>
      </c>
    </row>
    <row r="123" spans="1:27" x14ac:dyDescent="0.3">
      <c r="A123">
        <v>11</v>
      </c>
      <c r="B123" t="s">
        <v>56</v>
      </c>
      <c r="C123">
        <v>2026</v>
      </c>
      <c r="D123">
        <v>2</v>
      </c>
      <c r="E123" t="s">
        <v>28</v>
      </c>
      <c r="F123">
        <v>1113329</v>
      </c>
      <c r="G123">
        <v>0.86229999999999996</v>
      </c>
      <c r="H123">
        <v>28.3</v>
      </c>
      <c r="I123">
        <v>0.90310000000000001</v>
      </c>
      <c r="J123">
        <v>1178702</v>
      </c>
      <c r="K123">
        <v>0.84040000000000004</v>
      </c>
      <c r="L123">
        <v>0.65539999999999998</v>
      </c>
      <c r="M123">
        <v>134</v>
      </c>
      <c r="N123">
        <v>7871</v>
      </c>
      <c r="O123">
        <v>8510</v>
      </c>
      <c r="P123">
        <v>19143</v>
      </c>
      <c r="Q123">
        <v>36389</v>
      </c>
      <c r="R123">
        <v>352</v>
      </c>
      <c r="S123">
        <v>19</v>
      </c>
      <c r="T123">
        <v>615</v>
      </c>
      <c r="U123">
        <v>11436</v>
      </c>
      <c r="V123">
        <v>2161</v>
      </c>
      <c r="W123">
        <v>306</v>
      </c>
      <c r="X123">
        <v>401</v>
      </c>
      <c r="Y123">
        <v>2112</v>
      </c>
      <c r="Z123">
        <v>153</v>
      </c>
      <c r="AA123">
        <v>2265</v>
      </c>
    </row>
    <row r="124" spans="1:27" x14ac:dyDescent="0.3">
      <c r="A124">
        <v>11</v>
      </c>
      <c r="B124" t="s">
        <v>56</v>
      </c>
      <c r="C124">
        <v>2026</v>
      </c>
      <c r="D124">
        <v>3</v>
      </c>
      <c r="E124" t="s">
        <v>29</v>
      </c>
      <c r="F124">
        <v>1471575</v>
      </c>
      <c r="G124">
        <v>0.85929999999999995</v>
      </c>
      <c r="H124">
        <v>65.5</v>
      </c>
      <c r="I124">
        <v>0.90029999999999999</v>
      </c>
      <c r="J124">
        <v>1178380</v>
      </c>
      <c r="K124">
        <v>0.68400000000000005</v>
      </c>
      <c r="L124">
        <v>0.74550000000000005</v>
      </c>
      <c r="M124">
        <v>150</v>
      </c>
      <c r="N124">
        <v>6076</v>
      </c>
      <c r="O124">
        <v>2460</v>
      </c>
      <c r="P124">
        <v>8916</v>
      </c>
      <c r="Q124">
        <v>14058</v>
      </c>
      <c r="R124">
        <v>852</v>
      </c>
      <c r="S124">
        <v>42</v>
      </c>
      <c r="T124">
        <v>392</v>
      </c>
      <c r="U124">
        <v>25634</v>
      </c>
      <c r="V124">
        <v>4891</v>
      </c>
      <c r="W124">
        <v>345</v>
      </c>
      <c r="X124">
        <v>83</v>
      </c>
      <c r="Y124">
        <v>1628</v>
      </c>
      <c r="Z124">
        <v>39</v>
      </c>
      <c r="AA124">
        <v>1667</v>
      </c>
    </row>
    <row r="125" spans="1:27" x14ac:dyDescent="0.3">
      <c r="A125">
        <v>11</v>
      </c>
      <c r="B125" t="s">
        <v>56</v>
      </c>
      <c r="C125">
        <v>2026</v>
      </c>
      <c r="D125">
        <v>4</v>
      </c>
      <c r="E125" t="s">
        <v>30</v>
      </c>
      <c r="F125">
        <v>706744</v>
      </c>
      <c r="G125">
        <v>0.89400000000000002</v>
      </c>
      <c r="H125">
        <v>26.1</v>
      </c>
      <c r="I125">
        <v>0.93810000000000004</v>
      </c>
      <c r="J125">
        <v>1569512</v>
      </c>
      <c r="K125">
        <v>0.28499999999999998</v>
      </c>
      <c r="L125">
        <v>0.60360000000000003</v>
      </c>
      <c r="M125">
        <v>93</v>
      </c>
      <c r="N125">
        <v>1275</v>
      </c>
      <c r="O125">
        <v>11476</v>
      </c>
      <c r="P125">
        <v>7499</v>
      </c>
      <c r="Q125">
        <v>3259</v>
      </c>
      <c r="R125">
        <v>760</v>
      </c>
      <c r="S125">
        <v>95</v>
      </c>
      <c r="T125">
        <v>457</v>
      </c>
      <c r="U125">
        <v>20999</v>
      </c>
      <c r="V125">
        <v>1349</v>
      </c>
      <c r="W125">
        <v>530</v>
      </c>
      <c r="X125">
        <v>488</v>
      </c>
      <c r="Y125">
        <v>2845</v>
      </c>
      <c r="Z125">
        <v>188</v>
      </c>
      <c r="AA125">
        <v>3033</v>
      </c>
    </row>
    <row r="126" spans="1:27" x14ac:dyDescent="0.3">
      <c r="A126">
        <v>11</v>
      </c>
      <c r="B126" t="s">
        <v>56</v>
      </c>
      <c r="C126">
        <v>2026</v>
      </c>
      <c r="D126">
        <v>5</v>
      </c>
      <c r="E126" t="s">
        <v>31</v>
      </c>
      <c r="F126">
        <v>1169298</v>
      </c>
      <c r="G126">
        <v>0.88619999999999999</v>
      </c>
      <c r="H126">
        <v>78.099999999999994</v>
      </c>
      <c r="I126">
        <v>0.98440000000000005</v>
      </c>
      <c r="J126">
        <v>1970469</v>
      </c>
      <c r="K126">
        <v>0.46820000000000001</v>
      </c>
      <c r="L126">
        <v>0.79400000000000004</v>
      </c>
      <c r="M126">
        <v>124</v>
      </c>
      <c r="N126">
        <v>1321</v>
      </c>
      <c r="O126">
        <v>13289</v>
      </c>
      <c r="P126">
        <v>17639</v>
      </c>
      <c r="Q126">
        <v>37631</v>
      </c>
      <c r="R126">
        <v>918</v>
      </c>
      <c r="S126">
        <v>37</v>
      </c>
      <c r="T126">
        <v>352</v>
      </c>
      <c r="U126">
        <v>1685</v>
      </c>
      <c r="V126">
        <v>2047</v>
      </c>
      <c r="W126">
        <v>309</v>
      </c>
      <c r="X126">
        <v>236</v>
      </c>
      <c r="Y126">
        <v>1610</v>
      </c>
      <c r="Z126">
        <v>85</v>
      </c>
      <c r="AA126">
        <v>1695</v>
      </c>
    </row>
    <row r="127" spans="1:27" x14ac:dyDescent="0.3">
      <c r="A127">
        <v>11</v>
      </c>
      <c r="B127" t="s">
        <v>56</v>
      </c>
      <c r="C127">
        <v>2026</v>
      </c>
      <c r="D127">
        <v>6</v>
      </c>
      <c r="E127" t="s">
        <v>32</v>
      </c>
      <c r="F127">
        <v>190151</v>
      </c>
      <c r="G127">
        <v>0.86929999999999996</v>
      </c>
      <c r="H127">
        <v>21.3</v>
      </c>
      <c r="I127">
        <v>0.96630000000000005</v>
      </c>
      <c r="J127">
        <v>453109</v>
      </c>
      <c r="K127">
        <v>0.80579999999999996</v>
      </c>
      <c r="L127">
        <v>0.8206</v>
      </c>
      <c r="M127">
        <v>73</v>
      </c>
      <c r="N127">
        <v>8650</v>
      </c>
      <c r="O127">
        <v>9530</v>
      </c>
      <c r="P127">
        <v>17873</v>
      </c>
      <c r="Q127">
        <v>34483</v>
      </c>
      <c r="R127">
        <v>905</v>
      </c>
      <c r="S127">
        <v>93</v>
      </c>
      <c r="T127">
        <v>917</v>
      </c>
      <c r="U127">
        <v>13404</v>
      </c>
      <c r="V127">
        <v>1338</v>
      </c>
      <c r="W127">
        <v>710</v>
      </c>
      <c r="X127">
        <v>278</v>
      </c>
      <c r="Y127">
        <v>2295</v>
      </c>
      <c r="Z127">
        <v>100</v>
      </c>
      <c r="AA127">
        <v>2395</v>
      </c>
    </row>
    <row r="128" spans="1:27" x14ac:dyDescent="0.3">
      <c r="A128">
        <v>11</v>
      </c>
      <c r="B128" t="s">
        <v>56</v>
      </c>
      <c r="C128">
        <v>2026</v>
      </c>
      <c r="D128">
        <v>7</v>
      </c>
      <c r="E128" t="s">
        <v>33</v>
      </c>
      <c r="F128">
        <v>1056576</v>
      </c>
      <c r="G128">
        <v>0.96779999999999999</v>
      </c>
      <c r="H128">
        <v>70.400000000000006</v>
      </c>
      <c r="I128">
        <v>0.9516</v>
      </c>
      <c r="J128">
        <v>1008411</v>
      </c>
      <c r="K128">
        <v>0.51090000000000002</v>
      </c>
      <c r="L128">
        <v>0.70640000000000003</v>
      </c>
      <c r="M128">
        <v>119</v>
      </c>
      <c r="N128">
        <v>6408</v>
      </c>
      <c r="O128">
        <v>5868</v>
      </c>
      <c r="P128">
        <v>3819</v>
      </c>
      <c r="Q128">
        <v>23191</v>
      </c>
      <c r="R128">
        <v>1981</v>
      </c>
      <c r="S128">
        <v>70</v>
      </c>
      <c r="T128">
        <v>1431</v>
      </c>
      <c r="U128">
        <v>28755</v>
      </c>
      <c r="V128">
        <v>698</v>
      </c>
      <c r="W128">
        <v>250</v>
      </c>
      <c r="X128">
        <v>346</v>
      </c>
      <c r="Y128">
        <v>1160</v>
      </c>
      <c r="Z128">
        <v>154</v>
      </c>
      <c r="AA128">
        <v>1314</v>
      </c>
    </row>
    <row r="129" spans="1:27" x14ac:dyDescent="0.3">
      <c r="A129">
        <v>11</v>
      </c>
      <c r="B129" t="s">
        <v>56</v>
      </c>
      <c r="C129">
        <v>2026</v>
      </c>
      <c r="D129">
        <v>8</v>
      </c>
      <c r="E129" t="s">
        <v>34</v>
      </c>
      <c r="F129">
        <v>889292</v>
      </c>
      <c r="G129">
        <v>0.91790000000000005</v>
      </c>
      <c r="H129">
        <v>78.2</v>
      </c>
      <c r="I129">
        <v>0.97940000000000005</v>
      </c>
      <c r="J129">
        <v>794645</v>
      </c>
      <c r="K129">
        <v>0.67600000000000005</v>
      </c>
      <c r="L129">
        <v>0.97189999999999999</v>
      </c>
      <c r="M129">
        <v>38</v>
      </c>
      <c r="N129">
        <v>7485</v>
      </c>
      <c r="O129">
        <v>3402</v>
      </c>
      <c r="P129">
        <v>6690</v>
      </c>
      <c r="Q129">
        <v>33247</v>
      </c>
      <c r="R129">
        <v>1368</v>
      </c>
      <c r="S129">
        <v>94</v>
      </c>
      <c r="T129">
        <v>1271</v>
      </c>
      <c r="U129">
        <v>35246</v>
      </c>
      <c r="V129">
        <v>2436</v>
      </c>
      <c r="W129">
        <v>769</v>
      </c>
      <c r="X129">
        <v>205</v>
      </c>
      <c r="Y129">
        <v>1922</v>
      </c>
      <c r="Z129">
        <v>167</v>
      </c>
      <c r="AA129">
        <v>2089</v>
      </c>
    </row>
    <row r="130" spans="1:27" x14ac:dyDescent="0.3">
      <c r="A130">
        <v>11</v>
      </c>
      <c r="B130" t="s">
        <v>56</v>
      </c>
      <c r="C130">
        <v>2026</v>
      </c>
      <c r="D130">
        <v>9</v>
      </c>
      <c r="E130" t="s">
        <v>35</v>
      </c>
      <c r="F130">
        <v>569689</v>
      </c>
      <c r="G130">
        <v>0.91410000000000002</v>
      </c>
      <c r="H130">
        <v>69.900000000000006</v>
      </c>
      <c r="I130">
        <v>0.93969999999999998</v>
      </c>
      <c r="J130">
        <v>1843180</v>
      </c>
      <c r="K130">
        <v>0.50519999999999998</v>
      </c>
      <c r="L130">
        <v>0.97819999999999996</v>
      </c>
      <c r="M130">
        <v>177</v>
      </c>
      <c r="N130">
        <v>9319</v>
      </c>
      <c r="O130">
        <v>2641</v>
      </c>
      <c r="P130">
        <v>4179</v>
      </c>
      <c r="Q130">
        <v>23453</v>
      </c>
      <c r="R130">
        <v>312</v>
      </c>
      <c r="S130">
        <v>50</v>
      </c>
      <c r="T130">
        <v>143</v>
      </c>
      <c r="U130">
        <v>37156</v>
      </c>
      <c r="V130">
        <v>4465</v>
      </c>
      <c r="W130">
        <v>865</v>
      </c>
      <c r="X130">
        <v>310</v>
      </c>
      <c r="Y130">
        <v>1771</v>
      </c>
      <c r="Z130">
        <v>13</v>
      </c>
      <c r="AA130">
        <v>1784</v>
      </c>
    </row>
    <row r="131" spans="1:27" x14ac:dyDescent="0.3">
      <c r="A131">
        <v>11</v>
      </c>
      <c r="B131" t="s">
        <v>56</v>
      </c>
      <c r="C131">
        <v>2026</v>
      </c>
      <c r="D131">
        <v>10</v>
      </c>
      <c r="E131" t="s">
        <v>40</v>
      </c>
      <c r="F131">
        <v>94234</v>
      </c>
      <c r="G131">
        <v>0.91990000000000005</v>
      </c>
      <c r="H131">
        <v>25.1</v>
      </c>
      <c r="I131">
        <v>0.8629</v>
      </c>
      <c r="J131">
        <v>468042</v>
      </c>
      <c r="K131">
        <v>0.90559999999999996</v>
      </c>
      <c r="L131">
        <v>0.83530000000000004</v>
      </c>
      <c r="M131">
        <v>11</v>
      </c>
      <c r="N131">
        <v>8742</v>
      </c>
      <c r="O131">
        <v>9186</v>
      </c>
      <c r="P131">
        <v>9269</v>
      </c>
      <c r="Q131">
        <v>12991</v>
      </c>
      <c r="R131">
        <v>797</v>
      </c>
      <c r="S131">
        <v>33</v>
      </c>
      <c r="T131">
        <v>434</v>
      </c>
      <c r="U131">
        <v>46278</v>
      </c>
      <c r="V131">
        <v>3716</v>
      </c>
      <c r="W131">
        <v>469</v>
      </c>
      <c r="X131">
        <v>221</v>
      </c>
      <c r="Y131">
        <v>1008</v>
      </c>
      <c r="Z131">
        <v>182</v>
      </c>
      <c r="AA131">
        <v>1190</v>
      </c>
    </row>
    <row r="132" spans="1:27" x14ac:dyDescent="0.3">
      <c r="A132">
        <v>11</v>
      </c>
      <c r="B132" t="s">
        <v>56</v>
      </c>
      <c r="C132">
        <v>2026</v>
      </c>
      <c r="D132">
        <v>11</v>
      </c>
      <c r="E132" t="s">
        <v>41</v>
      </c>
      <c r="F132">
        <v>1440879</v>
      </c>
      <c r="G132">
        <v>0.98919999999999997</v>
      </c>
      <c r="H132">
        <v>21.8</v>
      </c>
      <c r="I132">
        <v>0.9728</v>
      </c>
      <c r="J132">
        <v>602581</v>
      </c>
      <c r="K132">
        <v>0.66</v>
      </c>
      <c r="L132">
        <v>0.93720000000000003</v>
      </c>
      <c r="M132">
        <v>149</v>
      </c>
      <c r="N132">
        <v>8410</v>
      </c>
      <c r="O132">
        <v>4486</v>
      </c>
      <c r="P132">
        <v>8331</v>
      </c>
      <c r="Q132">
        <v>3417</v>
      </c>
      <c r="R132">
        <v>329</v>
      </c>
      <c r="S132">
        <v>68</v>
      </c>
      <c r="T132">
        <v>771</v>
      </c>
      <c r="U132">
        <v>12930</v>
      </c>
      <c r="V132">
        <v>520</v>
      </c>
      <c r="W132">
        <v>324</v>
      </c>
      <c r="X132">
        <v>425</v>
      </c>
      <c r="Y132">
        <v>1538</v>
      </c>
      <c r="Z132">
        <v>147</v>
      </c>
      <c r="AA132">
        <v>1685</v>
      </c>
    </row>
    <row r="133" spans="1:27" x14ac:dyDescent="0.3">
      <c r="A133">
        <v>11</v>
      </c>
      <c r="B133" t="s">
        <v>56</v>
      </c>
      <c r="C133">
        <v>2026</v>
      </c>
      <c r="D133">
        <v>12</v>
      </c>
      <c r="E133" t="s">
        <v>42</v>
      </c>
      <c r="F133">
        <v>461738</v>
      </c>
      <c r="G133">
        <v>0.95669999999999999</v>
      </c>
      <c r="H133">
        <v>89.1</v>
      </c>
      <c r="I133">
        <v>0.98640000000000005</v>
      </c>
      <c r="J133">
        <v>1991063</v>
      </c>
      <c r="K133">
        <v>0.76839999999999997</v>
      </c>
      <c r="L133">
        <v>0.55769999999999997</v>
      </c>
      <c r="M133">
        <v>51</v>
      </c>
      <c r="N133">
        <v>7603</v>
      </c>
      <c r="O133">
        <v>6192</v>
      </c>
      <c r="P133">
        <v>1362</v>
      </c>
      <c r="Q133">
        <v>32687</v>
      </c>
      <c r="R133">
        <v>1690</v>
      </c>
      <c r="S133">
        <v>28</v>
      </c>
      <c r="T133">
        <v>546</v>
      </c>
      <c r="U133">
        <v>25523</v>
      </c>
      <c r="V133">
        <v>1454</v>
      </c>
      <c r="W133">
        <v>899</v>
      </c>
      <c r="X133">
        <v>238</v>
      </c>
      <c r="Y133">
        <v>942</v>
      </c>
      <c r="Z133">
        <v>89</v>
      </c>
      <c r="AA133">
        <v>1031</v>
      </c>
    </row>
    <row r="134" spans="1:27" x14ac:dyDescent="0.3">
      <c r="A134">
        <v>12</v>
      </c>
      <c r="B134" t="s">
        <v>57</v>
      </c>
      <c r="C134">
        <v>2026</v>
      </c>
      <c r="D134">
        <v>1</v>
      </c>
      <c r="E134" t="s">
        <v>27</v>
      </c>
      <c r="F134">
        <v>784022</v>
      </c>
      <c r="G134">
        <v>0.85709999999999997</v>
      </c>
      <c r="H134">
        <v>47.4</v>
      </c>
      <c r="I134">
        <v>0.92090000000000005</v>
      </c>
      <c r="J134">
        <v>509518</v>
      </c>
      <c r="K134">
        <v>0.51419999999999999</v>
      </c>
      <c r="L134">
        <v>0.50370000000000004</v>
      </c>
      <c r="M134">
        <v>74</v>
      </c>
      <c r="N134">
        <v>1035</v>
      </c>
      <c r="O134">
        <v>9263</v>
      </c>
      <c r="P134">
        <v>6247</v>
      </c>
      <c r="Q134">
        <v>49068</v>
      </c>
      <c r="R134">
        <v>1963</v>
      </c>
      <c r="S134">
        <v>79</v>
      </c>
      <c r="T134">
        <v>1320</v>
      </c>
      <c r="U134">
        <v>21897</v>
      </c>
      <c r="V134">
        <v>2155</v>
      </c>
      <c r="W134">
        <v>807</v>
      </c>
      <c r="X134">
        <v>457</v>
      </c>
      <c r="Y134">
        <v>723</v>
      </c>
      <c r="Z134">
        <v>23</v>
      </c>
      <c r="AA134">
        <v>746</v>
      </c>
    </row>
    <row r="135" spans="1:27" x14ac:dyDescent="0.3">
      <c r="A135">
        <v>12</v>
      </c>
      <c r="B135" t="s">
        <v>57</v>
      </c>
      <c r="C135">
        <v>2026</v>
      </c>
      <c r="D135">
        <v>2</v>
      </c>
      <c r="E135" t="s">
        <v>28</v>
      </c>
      <c r="F135">
        <v>704608</v>
      </c>
      <c r="G135">
        <v>0.91620000000000001</v>
      </c>
      <c r="H135">
        <v>24.8</v>
      </c>
      <c r="I135">
        <v>0.94299999999999995</v>
      </c>
      <c r="J135">
        <v>1167044</v>
      </c>
      <c r="K135">
        <v>0.46300000000000002</v>
      </c>
      <c r="L135">
        <v>0.77100000000000002</v>
      </c>
      <c r="M135">
        <v>179</v>
      </c>
      <c r="N135">
        <v>6191</v>
      </c>
      <c r="O135">
        <v>6171</v>
      </c>
      <c r="P135">
        <v>9091</v>
      </c>
      <c r="Q135">
        <v>34767</v>
      </c>
      <c r="R135">
        <v>1389</v>
      </c>
      <c r="S135">
        <v>40</v>
      </c>
      <c r="T135">
        <v>1021</v>
      </c>
      <c r="U135">
        <v>29565</v>
      </c>
      <c r="V135">
        <v>4058</v>
      </c>
      <c r="W135">
        <v>790</v>
      </c>
      <c r="X135">
        <v>496</v>
      </c>
      <c r="Y135">
        <v>850</v>
      </c>
      <c r="Z135">
        <v>118</v>
      </c>
      <c r="AA135">
        <v>968</v>
      </c>
    </row>
    <row r="136" spans="1:27" x14ac:dyDescent="0.3">
      <c r="A136">
        <v>12</v>
      </c>
      <c r="B136" t="s">
        <v>57</v>
      </c>
      <c r="C136">
        <v>2026</v>
      </c>
      <c r="D136">
        <v>3</v>
      </c>
      <c r="E136" t="s">
        <v>29</v>
      </c>
      <c r="F136">
        <v>1279766</v>
      </c>
      <c r="G136">
        <v>0.91190000000000004</v>
      </c>
      <c r="H136">
        <v>86.4</v>
      </c>
      <c r="I136">
        <v>0.98770000000000002</v>
      </c>
      <c r="J136">
        <v>500982</v>
      </c>
      <c r="K136">
        <v>0.85409999999999997</v>
      </c>
      <c r="L136">
        <v>0.74609999999999999</v>
      </c>
      <c r="M136">
        <v>21</v>
      </c>
      <c r="N136">
        <v>4151</v>
      </c>
      <c r="O136">
        <v>6518</v>
      </c>
      <c r="P136">
        <v>19668</v>
      </c>
      <c r="Q136">
        <v>30125</v>
      </c>
      <c r="R136">
        <v>1910</v>
      </c>
      <c r="S136">
        <v>89</v>
      </c>
      <c r="T136">
        <v>575</v>
      </c>
      <c r="U136">
        <v>19846</v>
      </c>
      <c r="V136">
        <v>3004</v>
      </c>
      <c r="W136">
        <v>238</v>
      </c>
      <c r="X136">
        <v>248</v>
      </c>
      <c r="Y136">
        <v>2981</v>
      </c>
      <c r="Z136">
        <v>73</v>
      </c>
      <c r="AA136">
        <v>3054</v>
      </c>
    </row>
    <row r="137" spans="1:27" x14ac:dyDescent="0.3">
      <c r="A137">
        <v>12</v>
      </c>
      <c r="B137" t="s">
        <v>57</v>
      </c>
      <c r="C137">
        <v>2026</v>
      </c>
      <c r="D137">
        <v>4</v>
      </c>
      <c r="E137" t="s">
        <v>30</v>
      </c>
      <c r="F137">
        <v>1131329</v>
      </c>
      <c r="G137">
        <v>0.98750000000000004</v>
      </c>
      <c r="H137">
        <v>43.3</v>
      </c>
      <c r="I137">
        <v>0.91439999999999999</v>
      </c>
      <c r="J137">
        <v>307282</v>
      </c>
      <c r="K137">
        <v>0.58979999999999999</v>
      </c>
      <c r="L137">
        <v>0.61609999999999998</v>
      </c>
      <c r="M137">
        <v>101</v>
      </c>
      <c r="N137">
        <v>1817</v>
      </c>
      <c r="O137">
        <v>13309</v>
      </c>
      <c r="P137">
        <v>18228</v>
      </c>
      <c r="Q137">
        <v>35735</v>
      </c>
      <c r="R137">
        <v>1625</v>
      </c>
      <c r="S137">
        <v>43</v>
      </c>
      <c r="T137">
        <v>778</v>
      </c>
      <c r="U137">
        <v>20574</v>
      </c>
      <c r="V137">
        <v>4118</v>
      </c>
      <c r="W137">
        <v>662</v>
      </c>
      <c r="X137">
        <v>90</v>
      </c>
      <c r="Y137">
        <v>1635</v>
      </c>
      <c r="Z137">
        <v>25</v>
      </c>
      <c r="AA137">
        <v>1660</v>
      </c>
    </row>
    <row r="138" spans="1:27" x14ac:dyDescent="0.3">
      <c r="A138">
        <v>12</v>
      </c>
      <c r="B138" t="s">
        <v>57</v>
      </c>
      <c r="C138">
        <v>2026</v>
      </c>
      <c r="D138">
        <v>5</v>
      </c>
      <c r="E138" t="s">
        <v>31</v>
      </c>
      <c r="F138">
        <v>254662</v>
      </c>
      <c r="G138">
        <v>0.98080000000000001</v>
      </c>
      <c r="H138">
        <v>53.5</v>
      </c>
      <c r="I138">
        <v>0.9859</v>
      </c>
      <c r="J138">
        <v>1633607</v>
      </c>
      <c r="K138">
        <v>0.73060000000000003</v>
      </c>
      <c r="L138">
        <v>0.60909999999999997</v>
      </c>
      <c r="M138">
        <v>147</v>
      </c>
      <c r="N138">
        <v>4785</v>
      </c>
      <c r="O138">
        <v>1742</v>
      </c>
      <c r="P138">
        <v>4888</v>
      </c>
      <c r="Q138">
        <v>34595</v>
      </c>
      <c r="R138">
        <v>157</v>
      </c>
      <c r="S138">
        <v>50</v>
      </c>
      <c r="T138">
        <v>915</v>
      </c>
      <c r="U138">
        <v>33831</v>
      </c>
      <c r="V138">
        <v>2398</v>
      </c>
      <c r="W138">
        <v>267</v>
      </c>
      <c r="X138">
        <v>54</v>
      </c>
      <c r="Y138">
        <v>1241</v>
      </c>
      <c r="Z138">
        <v>62</v>
      </c>
      <c r="AA138">
        <v>1303</v>
      </c>
    </row>
    <row r="139" spans="1:27" x14ac:dyDescent="0.3">
      <c r="A139">
        <v>12</v>
      </c>
      <c r="B139" t="s">
        <v>57</v>
      </c>
      <c r="C139">
        <v>2026</v>
      </c>
      <c r="D139">
        <v>6</v>
      </c>
      <c r="E139" t="s">
        <v>32</v>
      </c>
      <c r="F139">
        <v>1196095</v>
      </c>
      <c r="G139">
        <v>0.97240000000000004</v>
      </c>
      <c r="H139">
        <v>74.8</v>
      </c>
      <c r="I139">
        <v>0.8962</v>
      </c>
      <c r="J139">
        <v>604184</v>
      </c>
      <c r="K139">
        <v>0.9244</v>
      </c>
      <c r="L139">
        <v>0.64859999999999995</v>
      </c>
      <c r="M139">
        <v>85</v>
      </c>
      <c r="N139">
        <v>5951</v>
      </c>
      <c r="O139">
        <v>14909</v>
      </c>
      <c r="P139">
        <v>9469</v>
      </c>
      <c r="Q139">
        <v>26655</v>
      </c>
      <c r="R139">
        <v>1677</v>
      </c>
      <c r="S139">
        <v>49</v>
      </c>
      <c r="T139">
        <v>835</v>
      </c>
      <c r="U139">
        <v>7558</v>
      </c>
      <c r="V139">
        <v>1299</v>
      </c>
      <c r="W139">
        <v>189</v>
      </c>
      <c r="X139">
        <v>389</v>
      </c>
      <c r="Y139">
        <v>2712</v>
      </c>
      <c r="Z139">
        <v>128</v>
      </c>
      <c r="AA139">
        <v>2840</v>
      </c>
    </row>
    <row r="140" spans="1:27" x14ac:dyDescent="0.3">
      <c r="A140">
        <v>12</v>
      </c>
      <c r="B140" t="s">
        <v>57</v>
      </c>
      <c r="C140">
        <v>2026</v>
      </c>
      <c r="D140">
        <v>7</v>
      </c>
      <c r="E140" t="s">
        <v>33</v>
      </c>
      <c r="F140">
        <v>649017</v>
      </c>
      <c r="G140">
        <v>0.91310000000000002</v>
      </c>
      <c r="H140">
        <v>37.700000000000003</v>
      </c>
      <c r="I140">
        <v>0.8629</v>
      </c>
      <c r="J140">
        <v>723870</v>
      </c>
      <c r="K140">
        <v>0.59140000000000004</v>
      </c>
      <c r="L140">
        <v>0.54849999999999999</v>
      </c>
      <c r="M140">
        <v>112</v>
      </c>
      <c r="N140">
        <v>5277</v>
      </c>
      <c r="O140">
        <v>10192</v>
      </c>
      <c r="P140">
        <v>13095</v>
      </c>
      <c r="Q140">
        <v>44781</v>
      </c>
      <c r="R140">
        <v>851</v>
      </c>
      <c r="S140">
        <v>6</v>
      </c>
      <c r="T140">
        <v>1378</v>
      </c>
      <c r="U140">
        <v>6245</v>
      </c>
      <c r="V140">
        <v>4135</v>
      </c>
      <c r="W140">
        <v>803</v>
      </c>
      <c r="X140">
        <v>249</v>
      </c>
      <c r="Y140">
        <v>2207</v>
      </c>
      <c r="Z140">
        <v>183</v>
      </c>
      <c r="AA140">
        <v>2390</v>
      </c>
    </row>
    <row r="141" spans="1:27" x14ac:dyDescent="0.3">
      <c r="A141">
        <v>12</v>
      </c>
      <c r="B141" t="s">
        <v>57</v>
      </c>
      <c r="C141">
        <v>2026</v>
      </c>
      <c r="D141">
        <v>8</v>
      </c>
      <c r="E141" t="s">
        <v>34</v>
      </c>
      <c r="F141">
        <v>709402</v>
      </c>
      <c r="G141">
        <v>0.90280000000000005</v>
      </c>
      <c r="H141">
        <v>8.5</v>
      </c>
      <c r="I141">
        <v>0.92889999999999995</v>
      </c>
      <c r="J141">
        <v>1960204</v>
      </c>
      <c r="K141">
        <v>0.49590000000000001</v>
      </c>
      <c r="L141">
        <v>0.77470000000000006</v>
      </c>
      <c r="M141">
        <v>17</v>
      </c>
      <c r="N141">
        <v>2388</v>
      </c>
      <c r="O141">
        <v>10791</v>
      </c>
      <c r="P141">
        <v>10533</v>
      </c>
      <c r="Q141">
        <v>13428</v>
      </c>
      <c r="R141">
        <v>1907</v>
      </c>
      <c r="S141">
        <v>46</v>
      </c>
      <c r="T141">
        <v>566</v>
      </c>
      <c r="U141">
        <v>39739</v>
      </c>
      <c r="V141">
        <v>2509</v>
      </c>
      <c r="W141">
        <v>529</v>
      </c>
      <c r="X141">
        <v>113</v>
      </c>
      <c r="Y141">
        <v>2770</v>
      </c>
      <c r="Z141">
        <v>107</v>
      </c>
      <c r="AA141">
        <v>2877</v>
      </c>
    </row>
    <row r="142" spans="1:27" x14ac:dyDescent="0.3">
      <c r="A142">
        <v>12</v>
      </c>
      <c r="B142" t="s">
        <v>57</v>
      </c>
      <c r="C142">
        <v>2026</v>
      </c>
      <c r="D142">
        <v>9</v>
      </c>
      <c r="E142" t="s">
        <v>35</v>
      </c>
      <c r="F142">
        <v>1153651</v>
      </c>
      <c r="G142">
        <v>0.89900000000000002</v>
      </c>
      <c r="H142">
        <v>45.8</v>
      </c>
      <c r="I142">
        <v>0.94650000000000001</v>
      </c>
      <c r="J142">
        <v>21077</v>
      </c>
      <c r="K142">
        <v>0.20710000000000001</v>
      </c>
      <c r="L142">
        <v>0.75970000000000004</v>
      </c>
      <c r="M142">
        <v>140</v>
      </c>
      <c r="N142">
        <v>6006</v>
      </c>
      <c r="O142">
        <v>13602</v>
      </c>
      <c r="P142">
        <v>9311</v>
      </c>
      <c r="Q142">
        <v>26901</v>
      </c>
      <c r="R142">
        <v>1769</v>
      </c>
      <c r="S142">
        <v>70</v>
      </c>
      <c r="T142">
        <v>807</v>
      </c>
      <c r="U142">
        <v>1474</v>
      </c>
      <c r="V142">
        <v>1306</v>
      </c>
      <c r="W142">
        <v>344</v>
      </c>
      <c r="X142">
        <v>85</v>
      </c>
      <c r="Y142">
        <v>1562</v>
      </c>
      <c r="Z142">
        <v>166</v>
      </c>
      <c r="AA142">
        <v>1728</v>
      </c>
    </row>
    <row r="143" spans="1:27" x14ac:dyDescent="0.3">
      <c r="A143">
        <v>12</v>
      </c>
      <c r="B143" t="s">
        <v>57</v>
      </c>
      <c r="C143">
        <v>2026</v>
      </c>
      <c r="D143">
        <v>10</v>
      </c>
      <c r="E143" t="s">
        <v>40</v>
      </c>
      <c r="F143">
        <v>357761</v>
      </c>
      <c r="G143">
        <v>0.97899999999999998</v>
      </c>
      <c r="H143">
        <v>15.8</v>
      </c>
      <c r="I143">
        <v>0.98099999999999998</v>
      </c>
      <c r="J143">
        <v>418874</v>
      </c>
      <c r="K143">
        <v>0.59040000000000004</v>
      </c>
      <c r="L143">
        <v>0.59130000000000005</v>
      </c>
      <c r="M143">
        <v>103</v>
      </c>
      <c r="N143">
        <v>6328</v>
      </c>
      <c r="O143">
        <v>13085</v>
      </c>
      <c r="P143">
        <v>17100</v>
      </c>
      <c r="Q143">
        <v>16996</v>
      </c>
      <c r="R143">
        <v>414</v>
      </c>
      <c r="S143">
        <v>24</v>
      </c>
      <c r="T143">
        <v>399</v>
      </c>
      <c r="U143">
        <v>5875</v>
      </c>
      <c r="V143">
        <v>3511</v>
      </c>
      <c r="W143">
        <v>860</v>
      </c>
      <c r="X143">
        <v>13</v>
      </c>
      <c r="Y143">
        <v>1224</v>
      </c>
      <c r="Z143">
        <v>160</v>
      </c>
      <c r="AA143">
        <v>1384</v>
      </c>
    </row>
    <row r="144" spans="1:27" x14ac:dyDescent="0.3">
      <c r="A144">
        <v>12</v>
      </c>
      <c r="B144" t="s">
        <v>57</v>
      </c>
      <c r="C144">
        <v>2026</v>
      </c>
      <c r="D144">
        <v>11</v>
      </c>
      <c r="E144" t="s">
        <v>41</v>
      </c>
      <c r="F144">
        <v>61939</v>
      </c>
      <c r="G144">
        <v>0.96540000000000004</v>
      </c>
      <c r="H144">
        <v>25.5</v>
      </c>
      <c r="I144">
        <v>0.8881</v>
      </c>
      <c r="J144">
        <v>1666225</v>
      </c>
      <c r="K144">
        <v>0.4113</v>
      </c>
      <c r="L144">
        <v>0.7712</v>
      </c>
      <c r="M144">
        <v>34</v>
      </c>
      <c r="N144">
        <v>2745</v>
      </c>
      <c r="O144">
        <v>10025</v>
      </c>
      <c r="P144">
        <v>10121</v>
      </c>
      <c r="Q144">
        <v>6564</v>
      </c>
      <c r="R144">
        <v>1377</v>
      </c>
      <c r="S144">
        <v>26</v>
      </c>
      <c r="T144">
        <v>1402</v>
      </c>
      <c r="U144">
        <v>36410</v>
      </c>
      <c r="V144">
        <v>1148</v>
      </c>
      <c r="W144">
        <v>985</v>
      </c>
      <c r="X144">
        <v>473</v>
      </c>
      <c r="Y144">
        <v>2333</v>
      </c>
      <c r="Z144">
        <v>134</v>
      </c>
      <c r="AA144">
        <v>2467</v>
      </c>
    </row>
    <row r="145" spans="1:27" x14ac:dyDescent="0.3">
      <c r="A145">
        <v>12</v>
      </c>
      <c r="B145" t="s">
        <v>57</v>
      </c>
      <c r="C145">
        <v>2026</v>
      </c>
      <c r="D145">
        <v>12</v>
      </c>
      <c r="E145" t="s">
        <v>42</v>
      </c>
      <c r="F145">
        <v>907020</v>
      </c>
      <c r="G145">
        <v>0.86870000000000003</v>
      </c>
      <c r="H145">
        <v>7.6</v>
      </c>
      <c r="I145">
        <v>0.96389999999999998</v>
      </c>
      <c r="J145">
        <v>1584066</v>
      </c>
      <c r="K145">
        <v>0.66310000000000002</v>
      </c>
      <c r="L145">
        <v>0.54390000000000005</v>
      </c>
      <c r="M145">
        <v>53</v>
      </c>
      <c r="N145">
        <v>8373</v>
      </c>
      <c r="O145">
        <v>9585</v>
      </c>
      <c r="P145">
        <v>14811</v>
      </c>
      <c r="Q145">
        <v>5924</v>
      </c>
      <c r="R145">
        <v>793</v>
      </c>
      <c r="S145">
        <v>93</v>
      </c>
      <c r="T145">
        <v>921</v>
      </c>
      <c r="U145">
        <v>24085</v>
      </c>
      <c r="V145">
        <v>4891</v>
      </c>
      <c r="W145">
        <v>444</v>
      </c>
      <c r="X145">
        <v>214</v>
      </c>
      <c r="Y145">
        <v>2188</v>
      </c>
      <c r="Z145">
        <v>14</v>
      </c>
      <c r="AA145">
        <v>2202</v>
      </c>
    </row>
    <row r="146" spans="1:27" x14ac:dyDescent="0.3">
      <c r="A146">
        <v>13</v>
      </c>
      <c r="B146" t="s">
        <v>58</v>
      </c>
      <c r="C146">
        <v>2026</v>
      </c>
      <c r="D146">
        <v>1</v>
      </c>
      <c r="E146" t="s">
        <v>27</v>
      </c>
      <c r="F146">
        <v>346448</v>
      </c>
      <c r="G146">
        <v>0.98880000000000001</v>
      </c>
      <c r="H146">
        <v>97.5</v>
      </c>
      <c r="I146">
        <v>0.8528</v>
      </c>
      <c r="J146">
        <v>1136395</v>
      </c>
      <c r="K146">
        <v>0.48799999999999999</v>
      </c>
      <c r="L146">
        <v>0.50629999999999997</v>
      </c>
      <c r="M146">
        <v>54</v>
      </c>
      <c r="N146">
        <v>4746</v>
      </c>
      <c r="O146">
        <v>9156</v>
      </c>
      <c r="P146">
        <v>13953</v>
      </c>
      <c r="Q146">
        <v>46189</v>
      </c>
      <c r="R146">
        <v>1749</v>
      </c>
      <c r="S146">
        <v>100</v>
      </c>
      <c r="T146">
        <v>922</v>
      </c>
      <c r="U146">
        <v>9841</v>
      </c>
      <c r="V146">
        <v>1813</v>
      </c>
      <c r="W146">
        <v>487</v>
      </c>
      <c r="X146">
        <v>23</v>
      </c>
      <c r="Y146">
        <v>1208</v>
      </c>
      <c r="Z146">
        <v>181</v>
      </c>
      <c r="AA146">
        <v>1389</v>
      </c>
    </row>
    <row r="147" spans="1:27" x14ac:dyDescent="0.3">
      <c r="A147">
        <v>13</v>
      </c>
      <c r="B147" t="s">
        <v>58</v>
      </c>
      <c r="C147">
        <v>2026</v>
      </c>
      <c r="D147">
        <v>2</v>
      </c>
      <c r="E147" t="s">
        <v>28</v>
      </c>
      <c r="F147">
        <v>271095</v>
      </c>
      <c r="G147">
        <v>0.90359999999999996</v>
      </c>
      <c r="H147">
        <v>22.3</v>
      </c>
      <c r="I147">
        <v>0.92720000000000002</v>
      </c>
      <c r="J147">
        <v>1121909</v>
      </c>
      <c r="K147">
        <v>0.69499999999999995</v>
      </c>
      <c r="L147">
        <v>0.55559999999999998</v>
      </c>
      <c r="M147">
        <v>63</v>
      </c>
      <c r="N147">
        <v>6709</v>
      </c>
      <c r="O147">
        <v>13527</v>
      </c>
      <c r="P147">
        <v>6653</v>
      </c>
      <c r="Q147">
        <v>1304</v>
      </c>
      <c r="R147">
        <v>745</v>
      </c>
      <c r="S147">
        <v>81</v>
      </c>
      <c r="T147">
        <v>295</v>
      </c>
      <c r="U147">
        <v>2132</v>
      </c>
      <c r="V147">
        <v>2195</v>
      </c>
      <c r="W147">
        <v>772</v>
      </c>
      <c r="X147">
        <v>283</v>
      </c>
      <c r="Y147">
        <v>2158</v>
      </c>
      <c r="Z147">
        <v>73</v>
      </c>
      <c r="AA147">
        <v>2231</v>
      </c>
    </row>
    <row r="148" spans="1:27" x14ac:dyDescent="0.3">
      <c r="A148">
        <v>13</v>
      </c>
      <c r="B148" t="s">
        <v>58</v>
      </c>
      <c r="C148">
        <v>2026</v>
      </c>
      <c r="D148">
        <v>3</v>
      </c>
      <c r="E148" t="s">
        <v>29</v>
      </c>
      <c r="F148">
        <v>1499443</v>
      </c>
      <c r="G148">
        <v>0.86799999999999999</v>
      </c>
      <c r="H148">
        <v>8</v>
      </c>
      <c r="I148">
        <v>0.91910000000000003</v>
      </c>
      <c r="J148">
        <v>122689</v>
      </c>
      <c r="K148">
        <v>0.48559999999999998</v>
      </c>
      <c r="L148">
        <v>0.70640000000000003</v>
      </c>
      <c r="M148">
        <v>192</v>
      </c>
      <c r="N148">
        <v>4884</v>
      </c>
      <c r="O148">
        <v>9412</v>
      </c>
      <c r="P148">
        <v>5305</v>
      </c>
      <c r="Q148">
        <v>12076</v>
      </c>
      <c r="R148">
        <v>1808</v>
      </c>
      <c r="S148">
        <v>16</v>
      </c>
      <c r="T148">
        <v>230</v>
      </c>
      <c r="U148">
        <v>26941</v>
      </c>
      <c r="V148">
        <v>4886</v>
      </c>
      <c r="W148">
        <v>783</v>
      </c>
      <c r="X148">
        <v>264</v>
      </c>
      <c r="Y148">
        <v>2401</v>
      </c>
      <c r="Z148">
        <v>87</v>
      </c>
      <c r="AA148">
        <v>2488</v>
      </c>
    </row>
    <row r="149" spans="1:27" x14ac:dyDescent="0.3">
      <c r="A149">
        <v>13</v>
      </c>
      <c r="B149" t="s">
        <v>58</v>
      </c>
      <c r="C149">
        <v>2026</v>
      </c>
      <c r="D149">
        <v>4</v>
      </c>
      <c r="E149" t="s">
        <v>30</v>
      </c>
      <c r="F149">
        <v>802866</v>
      </c>
      <c r="G149">
        <v>0.89529999999999998</v>
      </c>
      <c r="H149">
        <v>77.7</v>
      </c>
      <c r="I149">
        <v>0.8871</v>
      </c>
      <c r="J149">
        <v>1206057</v>
      </c>
      <c r="K149">
        <v>0.39850000000000002</v>
      </c>
      <c r="L149">
        <v>0.86499999999999999</v>
      </c>
      <c r="M149">
        <v>59</v>
      </c>
      <c r="N149">
        <v>6916</v>
      </c>
      <c r="O149">
        <v>5772</v>
      </c>
      <c r="P149">
        <v>14973</v>
      </c>
      <c r="Q149">
        <v>14214</v>
      </c>
      <c r="R149">
        <v>940</v>
      </c>
      <c r="S149">
        <v>35</v>
      </c>
      <c r="T149">
        <v>510</v>
      </c>
      <c r="U149">
        <v>45113</v>
      </c>
      <c r="V149">
        <v>4206</v>
      </c>
      <c r="W149">
        <v>650</v>
      </c>
      <c r="X149">
        <v>300</v>
      </c>
      <c r="Y149">
        <v>550</v>
      </c>
      <c r="Z149">
        <v>158</v>
      </c>
      <c r="AA149">
        <v>708</v>
      </c>
    </row>
    <row r="150" spans="1:27" x14ac:dyDescent="0.3">
      <c r="A150">
        <v>13</v>
      </c>
      <c r="B150" t="s">
        <v>58</v>
      </c>
      <c r="C150">
        <v>2026</v>
      </c>
      <c r="D150">
        <v>5</v>
      </c>
      <c r="E150" t="s">
        <v>31</v>
      </c>
      <c r="F150">
        <v>539970</v>
      </c>
      <c r="G150">
        <v>0.92379999999999995</v>
      </c>
      <c r="H150">
        <v>54.9</v>
      </c>
      <c r="I150">
        <v>0.98040000000000005</v>
      </c>
      <c r="J150">
        <v>1330796</v>
      </c>
      <c r="K150">
        <v>0.88949999999999996</v>
      </c>
      <c r="L150">
        <v>0.84589999999999999</v>
      </c>
      <c r="M150">
        <v>186</v>
      </c>
      <c r="N150">
        <v>2644</v>
      </c>
      <c r="O150">
        <v>13443</v>
      </c>
      <c r="P150">
        <v>14710</v>
      </c>
      <c r="Q150">
        <v>46393</v>
      </c>
      <c r="R150">
        <v>200</v>
      </c>
      <c r="S150">
        <v>39</v>
      </c>
      <c r="T150">
        <v>1267</v>
      </c>
      <c r="U150">
        <v>1100</v>
      </c>
      <c r="V150">
        <v>3205</v>
      </c>
      <c r="W150">
        <v>179</v>
      </c>
      <c r="X150">
        <v>100</v>
      </c>
      <c r="Y150">
        <v>1711</v>
      </c>
      <c r="Z150">
        <v>120</v>
      </c>
      <c r="AA150">
        <v>1831</v>
      </c>
    </row>
    <row r="151" spans="1:27" x14ac:dyDescent="0.3">
      <c r="A151">
        <v>13</v>
      </c>
      <c r="B151" t="s">
        <v>58</v>
      </c>
      <c r="C151">
        <v>2026</v>
      </c>
      <c r="D151">
        <v>6</v>
      </c>
      <c r="E151" t="s">
        <v>32</v>
      </c>
      <c r="F151">
        <v>1384564</v>
      </c>
      <c r="G151">
        <v>0.98670000000000002</v>
      </c>
      <c r="H151">
        <v>80.400000000000006</v>
      </c>
      <c r="I151">
        <v>0.94489999999999996</v>
      </c>
      <c r="J151">
        <v>1516849</v>
      </c>
      <c r="K151">
        <v>0.87580000000000002</v>
      </c>
      <c r="L151">
        <v>0.74870000000000003</v>
      </c>
      <c r="M151">
        <v>92</v>
      </c>
      <c r="N151">
        <v>2347</v>
      </c>
      <c r="O151">
        <v>4087</v>
      </c>
      <c r="P151">
        <v>16867</v>
      </c>
      <c r="Q151">
        <v>22598</v>
      </c>
      <c r="R151">
        <v>1415</v>
      </c>
      <c r="S151">
        <v>80</v>
      </c>
      <c r="T151">
        <v>571</v>
      </c>
      <c r="U151">
        <v>45993</v>
      </c>
      <c r="V151">
        <v>3281</v>
      </c>
      <c r="W151">
        <v>961</v>
      </c>
      <c r="X151">
        <v>415</v>
      </c>
      <c r="Y151">
        <v>2207</v>
      </c>
      <c r="Z151">
        <v>156</v>
      </c>
      <c r="AA151">
        <v>2363</v>
      </c>
    </row>
    <row r="152" spans="1:27" x14ac:dyDescent="0.3">
      <c r="A152">
        <v>13</v>
      </c>
      <c r="B152" t="s">
        <v>58</v>
      </c>
      <c r="C152">
        <v>2026</v>
      </c>
      <c r="D152">
        <v>7</v>
      </c>
      <c r="E152" t="s">
        <v>33</v>
      </c>
      <c r="F152">
        <v>567116</v>
      </c>
      <c r="G152">
        <v>0.96640000000000004</v>
      </c>
      <c r="H152">
        <v>77.900000000000006</v>
      </c>
      <c r="I152">
        <v>0.92610000000000003</v>
      </c>
      <c r="J152">
        <v>1801603</v>
      </c>
      <c r="K152">
        <v>0.23810000000000001</v>
      </c>
      <c r="L152">
        <v>0.95150000000000001</v>
      </c>
      <c r="M152">
        <v>104</v>
      </c>
      <c r="N152">
        <v>1966</v>
      </c>
      <c r="O152">
        <v>8380</v>
      </c>
      <c r="P152">
        <v>10373</v>
      </c>
      <c r="Q152">
        <v>2473</v>
      </c>
      <c r="R152">
        <v>1107</v>
      </c>
      <c r="S152">
        <v>81</v>
      </c>
      <c r="T152">
        <v>903</v>
      </c>
      <c r="U152">
        <v>28186</v>
      </c>
      <c r="V152">
        <v>4033</v>
      </c>
      <c r="W152">
        <v>277</v>
      </c>
      <c r="X152">
        <v>59</v>
      </c>
      <c r="Y152">
        <v>1641</v>
      </c>
      <c r="Z152">
        <v>18</v>
      </c>
      <c r="AA152">
        <v>1659</v>
      </c>
    </row>
    <row r="153" spans="1:27" x14ac:dyDescent="0.3">
      <c r="A153">
        <v>13</v>
      </c>
      <c r="B153" t="s">
        <v>58</v>
      </c>
      <c r="C153">
        <v>2026</v>
      </c>
      <c r="D153">
        <v>8</v>
      </c>
      <c r="E153" t="s">
        <v>34</v>
      </c>
      <c r="F153">
        <v>956846</v>
      </c>
      <c r="G153">
        <v>0.95520000000000005</v>
      </c>
      <c r="H153">
        <v>73.900000000000006</v>
      </c>
      <c r="I153">
        <v>0.92430000000000001</v>
      </c>
      <c r="J153">
        <v>919546</v>
      </c>
      <c r="K153">
        <v>0.50280000000000002</v>
      </c>
      <c r="L153">
        <v>0.62980000000000003</v>
      </c>
      <c r="M153">
        <v>155</v>
      </c>
      <c r="N153">
        <v>3528</v>
      </c>
      <c r="O153">
        <v>14829</v>
      </c>
      <c r="P153">
        <v>18417</v>
      </c>
      <c r="Q153">
        <v>38581</v>
      </c>
      <c r="R153">
        <v>1612</v>
      </c>
      <c r="S153">
        <v>4</v>
      </c>
      <c r="T153">
        <v>170</v>
      </c>
      <c r="U153">
        <v>18149</v>
      </c>
      <c r="V153">
        <v>735</v>
      </c>
      <c r="W153">
        <v>498</v>
      </c>
      <c r="X153">
        <v>88</v>
      </c>
      <c r="Y153">
        <v>2270</v>
      </c>
      <c r="Z153">
        <v>198</v>
      </c>
      <c r="AA153">
        <v>2468</v>
      </c>
    </row>
    <row r="154" spans="1:27" x14ac:dyDescent="0.3">
      <c r="A154">
        <v>13</v>
      </c>
      <c r="B154" t="s">
        <v>58</v>
      </c>
      <c r="C154">
        <v>2026</v>
      </c>
      <c r="D154">
        <v>9</v>
      </c>
      <c r="E154" t="s">
        <v>35</v>
      </c>
      <c r="F154">
        <v>456539</v>
      </c>
      <c r="G154">
        <v>0.97150000000000003</v>
      </c>
      <c r="H154">
        <v>44.2</v>
      </c>
      <c r="I154">
        <v>0.89019999999999999</v>
      </c>
      <c r="J154">
        <v>370011</v>
      </c>
      <c r="K154">
        <v>0.60740000000000005</v>
      </c>
      <c r="L154">
        <v>0.77839999999999998</v>
      </c>
      <c r="M154">
        <v>134</v>
      </c>
      <c r="N154">
        <v>8193</v>
      </c>
      <c r="O154">
        <v>11236</v>
      </c>
      <c r="P154">
        <v>18487</v>
      </c>
      <c r="Q154">
        <v>14075</v>
      </c>
      <c r="R154">
        <v>965</v>
      </c>
      <c r="S154">
        <v>24</v>
      </c>
      <c r="T154">
        <v>1374</v>
      </c>
      <c r="U154">
        <v>12843</v>
      </c>
      <c r="V154">
        <v>2552</v>
      </c>
      <c r="W154">
        <v>775</v>
      </c>
      <c r="X154">
        <v>430</v>
      </c>
      <c r="Y154">
        <v>662</v>
      </c>
      <c r="Z154">
        <v>82</v>
      </c>
      <c r="AA154">
        <v>744</v>
      </c>
    </row>
    <row r="155" spans="1:27" x14ac:dyDescent="0.3">
      <c r="A155">
        <v>13</v>
      </c>
      <c r="B155" t="s">
        <v>58</v>
      </c>
      <c r="C155">
        <v>2026</v>
      </c>
      <c r="D155">
        <v>10</v>
      </c>
      <c r="E155" t="s">
        <v>40</v>
      </c>
      <c r="F155">
        <v>1385607</v>
      </c>
      <c r="G155">
        <v>0.93840000000000001</v>
      </c>
      <c r="H155">
        <v>84.8</v>
      </c>
      <c r="I155">
        <v>0.85319999999999996</v>
      </c>
      <c r="J155">
        <v>1172419</v>
      </c>
      <c r="K155">
        <v>0.75049999999999994</v>
      </c>
      <c r="L155">
        <v>0.6966</v>
      </c>
      <c r="M155">
        <v>124</v>
      </c>
      <c r="N155">
        <v>5666</v>
      </c>
      <c r="O155">
        <v>8845</v>
      </c>
      <c r="P155">
        <v>810</v>
      </c>
      <c r="Q155">
        <v>3411</v>
      </c>
      <c r="R155">
        <v>1606</v>
      </c>
      <c r="S155">
        <v>76</v>
      </c>
      <c r="T155">
        <v>542</v>
      </c>
      <c r="U155">
        <v>47217</v>
      </c>
      <c r="V155">
        <v>1777</v>
      </c>
      <c r="W155">
        <v>704</v>
      </c>
      <c r="X155">
        <v>396</v>
      </c>
      <c r="Y155">
        <v>2330</v>
      </c>
      <c r="Z155">
        <v>108</v>
      </c>
      <c r="AA155">
        <v>2438</v>
      </c>
    </row>
    <row r="156" spans="1:27" x14ac:dyDescent="0.3">
      <c r="A156">
        <v>13</v>
      </c>
      <c r="B156" t="s">
        <v>58</v>
      </c>
      <c r="C156">
        <v>2026</v>
      </c>
      <c r="D156">
        <v>11</v>
      </c>
      <c r="E156" t="s">
        <v>41</v>
      </c>
      <c r="F156">
        <v>372787</v>
      </c>
      <c r="G156">
        <v>0.95169999999999999</v>
      </c>
      <c r="H156">
        <v>8.8000000000000007</v>
      </c>
      <c r="I156">
        <v>0.95299999999999996</v>
      </c>
      <c r="J156">
        <v>1194229</v>
      </c>
      <c r="K156">
        <v>0.82269999999999999</v>
      </c>
      <c r="L156">
        <v>0.87619999999999998</v>
      </c>
      <c r="M156">
        <v>75</v>
      </c>
      <c r="N156">
        <v>6514</v>
      </c>
      <c r="O156">
        <v>7170</v>
      </c>
      <c r="P156">
        <v>995</v>
      </c>
      <c r="Q156">
        <v>13465</v>
      </c>
      <c r="R156">
        <v>1565</v>
      </c>
      <c r="S156">
        <v>90</v>
      </c>
      <c r="T156">
        <v>1159</v>
      </c>
      <c r="U156">
        <v>35168</v>
      </c>
      <c r="V156">
        <v>2333</v>
      </c>
      <c r="W156">
        <v>759</v>
      </c>
      <c r="X156">
        <v>365</v>
      </c>
      <c r="Y156">
        <v>838</v>
      </c>
      <c r="Z156">
        <v>154</v>
      </c>
      <c r="AA156">
        <v>992</v>
      </c>
    </row>
    <row r="157" spans="1:27" x14ac:dyDescent="0.3">
      <c r="A157">
        <v>13</v>
      </c>
      <c r="B157" t="s">
        <v>58</v>
      </c>
      <c r="C157">
        <v>2026</v>
      </c>
      <c r="D157">
        <v>12</v>
      </c>
      <c r="E157" t="s">
        <v>42</v>
      </c>
      <c r="F157">
        <v>38808</v>
      </c>
      <c r="G157">
        <v>0.8538</v>
      </c>
      <c r="H157">
        <v>14</v>
      </c>
      <c r="I157">
        <v>0.90820000000000001</v>
      </c>
      <c r="J157">
        <v>1922753</v>
      </c>
      <c r="K157">
        <v>0.31280000000000002</v>
      </c>
      <c r="L157">
        <v>0.58899999999999997</v>
      </c>
      <c r="M157">
        <v>175</v>
      </c>
      <c r="N157">
        <v>7810</v>
      </c>
      <c r="O157">
        <v>2433</v>
      </c>
      <c r="P157">
        <v>2784</v>
      </c>
      <c r="Q157">
        <v>25135</v>
      </c>
      <c r="R157">
        <v>1968</v>
      </c>
      <c r="S157">
        <v>68</v>
      </c>
      <c r="T157">
        <v>527</v>
      </c>
      <c r="U157">
        <v>7289</v>
      </c>
      <c r="V157">
        <v>2517</v>
      </c>
      <c r="W157">
        <v>766</v>
      </c>
      <c r="X157">
        <v>402</v>
      </c>
      <c r="Y157">
        <v>1105</v>
      </c>
      <c r="Z157">
        <v>65</v>
      </c>
      <c r="AA157">
        <v>1170</v>
      </c>
    </row>
    <row r="158" spans="1:27" x14ac:dyDescent="0.3">
      <c r="A158">
        <v>14</v>
      </c>
      <c r="B158" t="s">
        <v>59</v>
      </c>
      <c r="C158">
        <v>2026</v>
      </c>
      <c r="D158">
        <v>1</v>
      </c>
      <c r="E158" t="s">
        <v>27</v>
      </c>
      <c r="F158">
        <v>236282</v>
      </c>
      <c r="G158">
        <v>0.9425</v>
      </c>
      <c r="H158">
        <v>79.099999999999994</v>
      </c>
      <c r="I158">
        <v>0.89839999999999998</v>
      </c>
      <c r="J158">
        <v>1494372</v>
      </c>
      <c r="K158">
        <v>0.64280000000000004</v>
      </c>
      <c r="L158">
        <v>0.93169999999999997</v>
      </c>
      <c r="M158">
        <v>181</v>
      </c>
      <c r="N158">
        <v>5152</v>
      </c>
      <c r="O158">
        <v>3246</v>
      </c>
      <c r="P158">
        <v>6593</v>
      </c>
      <c r="Q158">
        <v>12413</v>
      </c>
      <c r="R158">
        <v>190</v>
      </c>
      <c r="S158">
        <v>94</v>
      </c>
      <c r="T158">
        <v>982</v>
      </c>
      <c r="U158">
        <v>14558</v>
      </c>
      <c r="V158">
        <v>1409</v>
      </c>
      <c r="W158">
        <v>284</v>
      </c>
      <c r="X158">
        <v>398</v>
      </c>
      <c r="Y158">
        <v>2038</v>
      </c>
      <c r="Z158">
        <v>138</v>
      </c>
      <c r="AA158">
        <v>2176</v>
      </c>
    </row>
    <row r="159" spans="1:27" x14ac:dyDescent="0.3">
      <c r="A159">
        <v>14</v>
      </c>
      <c r="B159" t="s">
        <v>59</v>
      </c>
      <c r="C159">
        <v>2026</v>
      </c>
      <c r="D159">
        <v>2</v>
      </c>
      <c r="E159" t="s">
        <v>28</v>
      </c>
      <c r="F159">
        <v>310411</v>
      </c>
      <c r="G159">
        <v>0.87580000000000002</v>
      </c>
      <c r="H159">
        <v>64.3</v>
      </c>
      <c r="I159">
        <v>0.98540000000000005</v>
      </c>
      <c r="J159">
        <v>1056895</v>
      </c>
      <c r="K159">
        <v>0.25900000000000001</v>
      </c>
      <c r="L159">
        <v>0.92030000000000001</v>
      </c>
      <c r="M159">
        <v>167</v>
      </c>
      <c r="N159">
        <v>5117</v>
      </c>
      <c r="O159">
        <v>7676</v>
      </c>
      <c r="P159">
        <v>7638</v>
      </c>
      <c r="Q159">
        <v>28116</v>
      </c>
      <c r="R159">
        <v>1241</v>
      </c>
      <c r="S159">
        <v>71</v>
      </c>
      <c r="T159">
        <v>602</v>
      </c>
      <c r="U159">
        <v>25731</v>
      </c>
      <c r="V159">
        <v>2959</v>
      </c>
      <c r="W159">
        <v>861</v>
      </c>
      <c r="X159">
        <v>314</v>
      </c>
      <c r="Y159">
        <v>1587</v>
      </c>
      <c r="Z159">
        <v>32</v>
      </c>
      <c r="AA159">
        <v>1619</v>
      </c>
    </row>
    <row r="160" spans="1:27" x14ac:dyDescent="0.3">
      <c r="A160">
        <v>14</v>
      </c>
      <c r="B160" t="s">
        <v>59</v>
      </c>
      <c r="C160">
        <v>2026</v>
      </c>
      <c r="D160">
        <v>3</v>
      </c>
      <c r="E160" t="s">
        <v>29</v>
      </c>
      <c r="F160">
        <v>352885</v>
      </c>
      <c r="G160">
        <v>0.9204</v>
      </c>
      <c r="H160">
        <v>73.7</v>
      </c>
      <c r="I160">
        <v>0.90390000000000004</v>
      </c>
      <c r="J160">
        <v>1741877</v>
      </c>
      <c r="K160">
        <v>0.57750000000000001</v>
      </c>
      <c r="L160">
        <v>0.87619999999999998</v>
      </c>
      <c r="M160">
        <v>150</v>
      </c>
      <c r="N160">
        <v>6885</v>
      </c>
      <c r="O160">
        <v>12739</v>
      </c>
      <c r="P160">
        <v>1340</v>
      </c>
      <c r="Q160">
        <v>34164</v>
      </c>
      <c r="R160">
        <v>941</v>
      </c>
      <c r="S160">
        <v>3</v>
      </c>
      <c r="T160">
        <v>1317</v>
      </c>
      <c r="U160">
        <v>49236</v>
      </c>
      <c r="V160">
        <v>2459</v>
      </c>
      <c r="W160">
        <v>966</v>
      </c>
      <c r="X160">
        <v>356</v>
      </c>
      <c r="Y160">
        <v>1430</v>
      </c>
      <c r="Z160">
        <v>185</v>
      </c>
      <c r="AA160">
        <v>1615</v>
      </c>
    </row>
    <row r="161" spans="1:27" x14ac:dyDescent="0.3">
      <c r="A161">
        <v>14</v>
      </c>
      <c r="B161" t="s">
        <v>59</v>
      </c>
      <c r="C161">
        <v>2026</v>
      </c>
      <c r="D161">
        <v>4</v>
      </c>
      <c r="E161" t="s">
        <v>30</v>
      </c>
      <c r="F161">
        <v>240265</v>
      </c>
      <c r="G161">
        <v>0.85960000000000003</v>
      </c>
      <c r="H161">
        <v>38.5</v>
      </c>
      <c r="I161">
        <v>0.89470000000000005</v>
      </c>
      <c r="J161">
        <v>699166</v>
      </c>
      <c r="K161">
        <v>0.30990000000000001</v>
      </c>
      <c r="L161">
        <v>0.82550000000000001</v>
      </c>
      <c r="M161">
        <v>179</v>
      </c>
      <c r="N161">
        <v>1308</v>
      </c>
      <c r="O161">
        <v>14253</v>
      </c>
      <c r="P161">
        <v>212</v>
      </c>
      <c r="Q161">
        <v>4706</v>
      </c>
      <c r="R161">
        <v>1352</v>
      </c>
      <c r="S161">
        <v>21</v>
      </c>
      <c r="T161">
        <v>1467</v>
      </c>
      <c r="U161">
        <v>15623</v>
      </c>
      <c r="V161">
        <v>3304</v>
      </c>
      <c r="W161">
        <v>840</v>
      </c>
      <c r="X161">
        <v>275</v>
      </c>
      <c r="Y161">
        <v>2288</v>
      </c>
      <c r="Z161">
        <v>96</v>
      </c>
      <c r="AA161">
        <v>2384</v>
      </c>
    </row>
    <row r="162" spans="1:27" x14ac:dyDescent="0.3">
      <c r="A162">
        <v>14</v>
      </c>
      <c r="B162" t="s">
        <v>59</v>
      </c>
      <c r="C162">
        <v>2026</v>
      </c>
      <c r="D162">
        <v>5</v>
      </c>
      <c r="E162" t="s">
        <v>31</v>
      </c>
      <c r="F162">
        <v>1182558</v>
      </c>
      <c r="G162">
        <v>0.91469999999999996</v>
      </c>
      <c r="H162">
        <v>10.1</v>
      </c>
      <c r="I162">
        <v>0.9859</v>
      </c>
      <c r="J162">
        <v>1976985</v>
      </c>
      <c r="K162">
        <v>0.36399999999999999</v>
      </c>
      <c r="L162">
        <v>0.86729999999999996</v>
      </c>
      <c r="M162">
        <v>47</v>
      </c>
      <c r="N162">
        <v>1724</v>
      </c>
      <c r="O162">
        <v>10924</v>
      </c>
      <c r="P162">
        <v>4608</v>
      </c>
      <c r="Q162">
        <v>44615</v>
      </c>
      <c r="R162">
        <v>141</v>
      </c>
      <c r="S162">
        <v>88</v>
      </c>
      <c r="T162">
        <v>158</v>
      </c>
      <c r="U162">
        <v>48928</v>
      </c>
      <c r="V162">
        <v>2737</v>
      </c>
      <c r="W162">
        <v>739</v>
      </c>
      <c r="X162">
        <v>384</v>
      </c>
      <c r="Y162">
        <v>971</v>
      </c>
      <c r="Z162">
        <v>74</v>
      </c>
      <c r="AA162">
        <v>1045</v>
      </c>
    </row>
    <row r="163" spans="1:27" x14ac:dyDescent="0.3">
      <c r="A163">
        <v>14</v>
      </c>
      <c r="B163" t="s">
        <v>59</v>
      </c>
      <c r="C163">
        <v>2026</v>
      </c>
      <c r="D163">
        <v>6</v>
      </c>
      <c r="E163" t="s">
        <v>32</v>
      </c>
      <c r="F163">
        <v>692378</v>
      </c>
      <c r="G163">
        <v>0.95640000000000003</v>
      </c>
      <c r="H163">
        <v>48.5</v>
      </c>
      <c r="I163">
        <v>0.98480000000000001</v>
      </c>
      <c r="J163">
        <v>1883199</v>
      </c>
      <c r="K163">
        <v>0.80810000000000004</v>
      </c>
      <c r="L163">
        <v>0.67520000000000002</v>
      </c>
      <c r="M163">
        <v>51</v>
      </c>
      <c r="N163">
        <v>6447</v>
      </c>
      <c r="O163">
        <v>1145</v>
      </c>
      <c r="P163">
        <v>19739</v>
      </c>
      <c r="Q163">
        <v>1826</v>
      </c>
      <c r="R163">
        <v>689</v>
      </c>
      <c r="S163">
        <v>99</v>
      </c>
      <c r="T163">
        <v>122</v>
      </c>
      <c r="U163">
        <v>46374</v>
      </c>
      <c r="V163">
        <v>3436</v>
      </c>
      <c r="W163">
        <v>188</v>
      </c>
      <c r="X163">
        <v>417</v>
      </c>
      <c r="Y163">
        <v>1694</v>
      </c>
      <c r="Z163">
        <v>197</v>
      </c>
      <c r="AA163">
        <v>1891</v>
      </c>
    </row>
    <row r="164" spans="1:27" x14ac:dyDescent="0.3">
      <c r="A164">
        <v>14</v>
      </c>
      <c r="B164" t="s">
        <v>59</v>
      </c>
      <c r="C164">
        <v>2026</v>
      </c>
      <c r="D164">
        <v>7</v>
      </c>
      <c r="E164" t="s">
        <v>33</v>
      </c>
      <c r="F164">
        <v>602825</v>
      </c>
      <c r="G164">
        <v>0.98570000000000002</v>
      </c>
      <c r="H164">
        <v>13.3</v>
      </c>
      <c r="I164">
        <v>0.96450000000000002</v>
      </c>
      <c r="J164">
        <v>1367509</v>
      </c>
      <c r="K164">
        <v>0.624</v>
      </c>
      <c r="L164">
        <v>0.61739999999999995</v>
      </c>
      <c r="M164">
        <v>73</v>
      </c>
      <c r="N164">
        <v>6794</v>
      </c>
      <c r="O164">
        <v>14954</v>
      </c>
      <c r="P164">
        <v>7957</v>
      </c>
      <c r="Q164">
        <v>34889</v>
      </c>
      <c r="R164">
        <v>719</v>
      </c>
      <c r="S164">
        <v>47</v>
      </c>
      <c r="T164">
        <v>396</v>
      </c>
      <c r="U164">
        <v>48801</v>
      </c>
      <c r="V164">
        <v>852</v>
      </c>
      <c r="W164">
        <v>280</v>
      </c>
      <c r="X164">
        <v>475</v>
      </c>
      <c r="Y164">
        <v>2994</v>
      </c>
      <c r="Z164">
        <v>57</v>
      </c>
      <c r="AA164">
        <v>3051</v>
      </c>
    </row>
    <row r="165" spans="1:27" x14ac:dyDescent="0.3">
      <c r="A165">
        <v>14</v>
      </c>
      <c r="B165" t="s">
        <v>59</v>
      </c>
      <c r="C165">
        <v>2026</v>
      </c>
      <c r="D165">
        <v>8</v>
      </c>
      <c r="E165" t="s">
        <v>34</v>
      </c>
      <c r="F165">
        <v>834666</v>
      </c>
      <c r="G165">
        <v>0.85809999999999997</v>
      </c>
      <c r="H165">
        <v>24.8</v>
      </c>
      <c r="I165">
        <v>0.90949999999999998</v>
      </c>
      <c r="J165">
        <v>350343</v>
      </c>
      <c r="K165">
        <v>0.6754</v>
      </c>
      <c r="L165">
        <v>0.91639999999999999</v>
      </c>
      <c r="M165">
        <v>94</v>
      </c>
      <c r="N165">
        <v>8730</v>
      </c>
      <c r="O165">
        <v>14878</v>
      </c>
      <c r="P165">
        <v>6638</v>
      </c>
      <c r="Q165">
        <v>32401</v>
      </c>
      <c r="R165">
        <v>703</v>
      </c>
      <c r="S165">
        <v>4</v>
      </c>
      <c r="T165">
        <v>791</v>
      </c>
      <c r="U165">
        <v>14085</v>
      </c>
      <c r="V165">
        <v>2691</v>
      </c>
      <c r="W165">
        <v>390</v>
      </c>
      <c r="X165">
        <v>21</v>
      </c>
      <c r="Y165">
        <v>2698</v>
      </c>
      <c r="Z165">
        <v>123</v>
      </c>
      <c r="AA165">
        <v>2821</v>
      </c>
    </row>
    <row r="166" spans="1:27" x14ac:dyDescent="0.3">
      <c r="A166">
        <v>14</v>
      </c>
      <c r="B166" t="s">
        <v>59</v>
      </c>
      <c r="C166">
        <v>2026</v>
      </c>
      <c r="D166">
        <v>9</v>
      </c>
      <c r="E166" t="s">
        <v>35</v>
      </c>
      <c r="F166">
        <v>844841</v>
      </c>
      <c r="G166">
        <v>0.92449999999999999</v>
      </c>
      <c r="H166">
        <v>51.7</v>
      </c>
      <c r="I166">
        <v>0.94689999999999996</v>
      </c>
      <c r="J166">
        <v>456383</v>
      </c>
      <c r="K166">
        <v>0.221</v>
      </c>
      <c r="L166">
        <v>0.93710000000000004</v>
      </c>
      <c r="M166">
        <v>123</v>
      </c>
      <c r="N166">
        <v>7186</v>
      </c>
      <c r="O166">
        <v>7931</v>
      </c>
      <c r="P166">
        <v>8032</v>
      </c>
      <c r="Q166">
        <v>25461</v>
      </c>
      <c r="R166">
        <v>823</v>
      </c>
      <c r="S166">
        <v>23</v>
      </c>
      <c r="T166">
        <v>497</v>
      </c>
      <c r="U166">
        <v>12223</v>
      </c>
      <c r="V166">
        <v>2112</v>
      </c>
      <c r="W166">
        <v>414</v>
      </c>
      <c r="X166">
        <v>107</v>
      </c>
      <c r="Y166">
        <v>837</v>
      </c>
      <c r="Z166">
        <v>196</v>
      </c>
      <c r="AA166">
        <v>1033</v>
      </c>
    </row>
    <row r="167" spans="1:27" x14ac:dyDescent="0.3">
      <c r="A167">
        <v>14</v>
      </c>
      <c r="B167" t="s">
        <v>59</v>
      </c>
      <c r="C167">
        <v>2026</v>
      </c>
      <c r="D167">
        <v>10</v>
      </c>
      <c r="E167" t="s">
        <v>40</v>
      </c>
      <c r="F167">
        <v>670848</v>
      </c>
      <c r="G167">
        <v>0.90710000000000002</v>
      </c>
      <c r="H167">
        <v>41.1</v>
      </c>
      <c r="I167">
        <v>0.86070000000000002</v>
      </c>
      <c r="J167">
        <v>1386555</v>
      </c>
      <c r="K167">
        <v>0.41389999999999999</v>
      </c>
      <c r="L167">
        <v>0.90539999999999998</v>
      </c>
      <c r="M167">
        <v>14</v>
      </c>
      <c r="N167">
        <v>4706</v>
      </c>
      <c r="O167">
        <v>7538</v>
      </c>
      <c r="P167">
        <v>14923</v>
      </c>
      <c r="Q167">
        <v>14268</v>
      </c>
      <c r="R167">
        <v>1001</v>
      </c>
      <c r="S167">
        <v>99</v>
      </c>
      <c r="T167">
        <v>118</v>
      </c>
      <c r="U167">
        <v>39550</v>
      </c>
      <c r="V167">
        <v>3811</v>
      </c>
      <c r="W167">
        <v>766</v>
      </c>
      <c r="X167">
        <v>377</v>
      </c>
      <c r="Y167">
        <v>2341</v>
      </c>
      <c r="Z167">
        <v>154</v>
      </c>
      <c r="AA167">
        <v>2495</v>
      </c>
    </row>
    <row r="168" spans="1:27" x14ac:dyDescent="0.3">
      <c r="A168">
        <v>14</v>
      </c>
      <c r="B168" t="s">
        <v>59</v>
      </c>
      <c r="C168">
        <v>2026</v>
      </c>
      <c r="D168">
        <v>11</v>
      </c>
      <c r="E168" t="s">
        <v>41</v>
      </c>
      <c r="F168">
        <v>1154936</v>
      </c>
      <c r="G168">
        <v>0.9516</v>
      </c>
      <c r="H168">
        <v>49.6</v>
      </c>
      <c r="I168">
        <v>0.86599999999999999</v>
      </c>
      <c r="J168">
        <v>252538</v>
      </c>
      <c r="K168">
        <v>0.39240000000000003</v>
      </c>
      <c r="L168">
        <v>0.81440000000000001</v>
      </c>
      <c r="M168">
        <v>138</v>
      </c>
      <c r="N168">
        <v>1065</v>
      </c>
      <c r="O168">
        <v>9885</v>
      </c>
      <c r="P168">
        <v>5608</v>
      </c>
      <c r="Q168">
        <v>20325</v>
      </c>
      <c r="R168">
        <v>1287</v>
      </c>
      <c r="S168">
        <v>9</v>
      </c>
      <c r="T168">
        <v>569</v>
      </c>
      <c r="U168">
        <v>17545</v>
      </c>
      <c r="V168">
        <v>3331</v>
      </c>
      <c r="W168">
        <v>587</v>
      </c>
      <c r="X168">
        <v>220</v>
      </c>
      <c r="Y168">
        <v>1105</v>
      </c>
      <c r="Z168">
        <v>108</v>
      </c>
      <c r="AA168">
        <v>1213</v>
      </c>
    </row>
    <row r="169" spans="1:27" x14ac:dyDescent="0.3">
      <c r="A169">
        <v>14</v>
      </c>
      <c r="B169" t="s">
        <v>59</v>
      </c>
      <c r="C169">
        <v>2026</v>
      </c>
      <c r="D169">
        <v>12</v>
      </c>
      <c r="E169" t="s">
        <v>42</v>
      </c>
      <c r="F169">
        <v>1306726</v>
      </c>
      <c r="G169">
        <v>0.98919999999999997</v>
      </c>
      <c r="H169">
        <v>50.9</v>
      </c>
      <c r="I169">
        <v>0.95269999999999999</v>
      </c>
      <c r="J169">
        <v>1644390</v>
      </c>
      <c r="K169">
        <v>0.4602</v>
      </c>
      <c r="L169">
        <v>0.60899999999999999</v>
      </c>
      <c r="M169">
        <v>95</v>
      </c>
      <c r="N169">
        <v>5950</v>
      </c>
      <c r="O169">
        <v>3617</v>
      </c>
      <c r="P169">
        <v>9365</v>
      </c>
      <c r="Q169">
        <v>8858</v>
      </c>
      <c r="R169">
        <v>613</v>
      </c>
      <c r="S169">
        <v>23</v>
      </c>
      <c r="T169">
        <v>918</v>
      </c>
      <c r="U169">
        <v>17599</v>
      </c>
      <c r="V169">
        <v>1346</v>
      </c>
      <c r="W169">
        <v>792</v>
      </c>
      <c r="X169">
        <v>357</v>
      </c>
      <c r="Y169">
        <v>2741</v>
      </c>
      <c r="Z169">
        <v>103</v>
      </c>
      <c r="AA169">
        <v>2844</v>
      </c>
    </row>
    <row r="170" spans="1:27" x14ac:dyDescent="0.3">
      <c r="A170">
        <v>15</v>
      </c>
      <c r="B170" t="s">
        <v>60</v>
      </c>
      <c r="C170">
        <v>2026</v>
      </c>
      <c r="D170">
        <v>1</v>
      </c>
      <c r="E170" t="s">
        <v>27</v>
      </c>
      <c r="F170">
        <v>462808</v>
      </c>
      <c r="G170">
        <v>0.87390000000000001</v>
      </c>
      <c r="H170">
        <v>85</v>
      </c>
      <c r="I170">
        <v>0.89610000000000001</v>
      </c>
      <c r="J170">
        <v>1177914</v>
      </c>
      <c r="K170">
        <v>0.72009999999999996</v>
      </c>
      <c r="L170">
        <v>0.68420000000000003</v>
      </c>
      <c r="M170">
        <v>113</v>
      </c>
      <c r="N170">
        <v>2996</v>
      </c>
      <c r="O170">
        <v>14452</v>
      </c>
      <c r="P170">
        <v>13884</v>
      </c>
      <c r="Q170">
        <v>26084</v>
      </c>
      <c r="R170">
        <v>1818</v>
      </c>
      <c r="S170">
        <v>67</v>
      </c>
      <c r="T170">
        <v>995</v>
      </c>
      <c r="U170">
        <v>20552</v>
      </c>
      <c r="V170">
        <v>2560</v>
      </c>
      <c r="W170">
        <v>756</v>
      </c>
      <c r="X170">
        <v>262</v>
      </c>
      <c r="Y170">
        <v>2719</v>
      </c>
      <c r="Z170">
        <v>107</v>
      </c>
      <c r="AA170">
        <v>2826</v>
      </c>
    </row>
    <row r="171" spans="1:27" x14ac:dyDescent="0.3">
      <c r="A171">
        <v>15</v>
      </c>
      <c r="B171" t="s">
        <v>60</v>
      </c>
      <c r="C171">
        <v>2026</v>
      </c>
      <c r="D171">
        <v>2</v>
      </c>
      <c r="E171" t="s">
        <v>28</v>
      </c>
      <c r="F171">
        <v>767055</v>
      </c>
      <c r="G171">
        <v>0.96579999999999999</v>
      </c>
      <c r="H171">
        <v>5.7</v>
      </c>
      <c r="I171">
        <v>0.93049999999999999</v>
      </c>
      <c r="J171">
        <v>1608804</v>
      </c>
      <c r="K171">
        <v>0.98660000000000003</v>
      </c>
      <c r="L171">
        <v>0.57179999999999997</v>
      </c>
      <c r="M171">
        <v>90</v>
      </c>
      <c r="N171">
        <v>7837</v>
      </c>
      <c r="O171">
        <v>976</v>
      </c>
      <c r="P171">
        <v>19485</v>
      </c>
      <c r="Q171">
        <v>3166</v>
      </c>
      <c r="R171">
        <v>473</v>
      </c>
      <c r="S171">
        <v>1</v>
      </c>
      <c r="T171">
        <v>816</v>
      </c>
      <c r="U171">
        <v>40970</v>
      </c>
      <c r="V171">
        <v>2255</v>
      </c>
      <c r="W171">
        <v>280</v>
      </c>
      <c r="X171">
        <v>184</v>
      </c>
      <c r="Y171">
        <v>1771</v>
      </c>
      <c r="Z171">
        <v>15</v>
      </c>
      <c r="AA171">
        <v>1786</v>
      </c>
    </row>
    <row r="172" spans="1:27" x14ac:dyDescent="0.3">
      <c r="A172">
        <v>15</v>
      </c>
      <c r="B172" t="s">
        <v>60</v>
      </c>
      <c r="C172">
        <v>2026</v>
      </c>
      <c r="D172">
        <v>3</v>
      </c>
      <c r="E172" t="s">
        <v>29</v>
      </c>
      <c r="F172">
        <v>164355</v>
      </c>
      <c r="G172">
        <v>0.98470000000000002</v>
      </c>
      <c r="H172">
        <v>34.700000000000003</v>
      </c>
      <c r="I172">
        <v>0.90280000000000005</v>
      </c>
      <c r="J172">
        <v>1954284</v>
      </c>
      <c r="K172">
        <v>0.93600000000000005</v>
      </c>
      <c r="L172">
        <v>0.66469999999999996</v>
      </c>
      <c r="M172">
        <v>142</v>
      </c>
      <c r="N172">
        <v>8205</v>
      </c>
      <c r="O172">
        <v>12625</v>
      </c>
      <c r="P172">
        <v>17680</v>
      </c>
      <c r="Q172">
        <v>19711</v>
      </c>
      <c r="R172">
        <v>1108</v>
      </c>
      <c r="S172">
        <v>28</v>
      </c>
      <c r="T172">
        <v>539</v>
      </c>
      <c r="U172">
        <v>15529</v>
      </c>
      <c r="V172">
        <v>3302</v>
      </c>
      <c r="W172">
        <v>287</v>
      </c>
      <c r="X172">
        <v>481</v>
      </c>
      <c r="Y172">
        <v>542</v>
      </c>
      <c r="Z172">
        <v>80</v>
      </c>
      <c r="AA172">
        <v>622</v>
      </c>
    </row>
    <row r="173" spans="1:27" x14ac:dyDescent="0.3">
      <c r="A173">
        <v>15</v>
      </c>
      <c r="B173" t="s">
        <v>60</v>
      </c>
      <c r="C173">
        <v>2026</v>
      </c>
      <c r="D173">
        <v>4</v>
      </c>
      <c r="E173" t="s">
        <v>30</v>
      </c>
      <c r="F173">
        <v>171440</v>
      </c>
      <c r="G173">
        <v>0.85289999999999999</v>
      </c>
      <c r="H173">
        <v>51.7</v>
      </c>
      <c r="I173">
        <v>0.91159999999999997</v>
      </c>
      <c r="J173">
        <v>1810202</v>
      </c>
      <c r="K173">
        <v>0.21310000000000001</v>
      </c>
      <c r="L173">
        <v>0.5363</v>
      </c>
      <c r="M173">
        <v>114</v>
      </c>
      <c r="N173">
        <v>9410</v>
      </c>
      <c r="O173">
        <v>2646</v>
      </c>
      <c r="P173">
        <v>5740</v>
      </c>
      <c r="Q173">
        <v>3234</v>
      </c>
      <c r="R173">
        <v>575</v>
      </c>
      <c r="S173">
        <v>99</v>
      </c>
      <c r="T173">
        <v>298</v>
      </c>
      <c r="U173">
        <v>31891</v>
      </c>
      <c r="V173">
        <v>3143</v>
      </c>
      <c r="W173">
        <v>762</v>
      </c>
      <c r="X173">
        <v>417</v>
      </c>
      <c r="Y173">
        <v>1641</v>
      </c>
      <c r="Z173">
        <v>53</v>
      </c>
      <c r="AA173">
        <v>1694</v>
      </c>
    </row>
    <row r="174" spans="1:27" x14ac:dyDescent="0.3">
      <c r="A174">
        <v>15</v>
      </c>
      <c r="B174" t="s">
        <v>60</v>
      </c>
      <c r="C174">
        <v>2026</v>
      </c>
      <c r="D174">
        <v>5</v>
      </c>
      <c r="E174" t="s">
        <v>31</v>
      </c>
      <c r="F174">
        <v>1179244</v>
      </c>
      <c r="G174">
        <v>0.86040000000000005</v>
      </c>
      <c r="H174">
        <v>92.6</v>
      </c>
      <c r="I174">
        <v>0.90200000000000002</v>
      </c>
      <c r="J174">
        <v>1576068</v>
      </c>
      <c r="K174">
        <v>0.30869999999999997</v>
      </c>
      <c r="L174">
        <v>0.5958</v>
      </c>
      <c r="M174">
        <v>104</v>
      </c>
      <c r="N174">
        <v>3890</v>
      </c>
      <c r="O174">
        <v>4936</v>
      </c>
      <c r="P174">
        <v>12051</v>
      </c>
      <c r="Q174">
        <v>24920</v>
      </c>
      <c r="R174">
        <v>127</v>
      </c>
      <c r="S174">
        <v>6</v>
      </c>
      <c r="T174">
        <v>166</v>
      </c>
      <c r="U174">
        <v>42918</v>
      </c>
      <c r="V174">
        <v>4835</v>
      </c>
      <c r="W174">
        <v>863</v>
      </c>
      <c r="X174">
        <v>467</v>
      </c>
      <c r="Y174">
        <v>2391</v>
      </c>
      <c r="Z174">
        <v>110</v>
      </c>
      <c r="AA174">
        <v>2501</v>
      </c>
    </row>
    <row r="175" spans="1:27" x14ac:dyDescent="0.3">
      <c r="A175">
        <v>15</v>
      </c>
      <c r="B175" t="s">
        <v>60</v>
      </c>
      <c r="C175">
        <v>2026</v>
      </c>
      <c r="D175">
        <v>6</v>
      </c>
      <c r="E175" t="s">
        <v>32</v>
      </c>
      <c r="F175">
        <v>820973</v>
      </c>
      <c r="G175">
        <v>0.92</v>
      </c>
      <c r="H175">
        <v>69.599999999999994</v>
      </c>
      <c r="I175">
        <v>0.98119999999999996</v>
      </c>
      <c r="J175">
        <v>1772263</v>
      </c>
      <c r="K175">
        <v>0.38419999999999999</v>
      </c>
      <c r="L175">
        <v>0.55940000000000001</v>
      </c>
      <c r="M175">
        <v>39</v>
      </c>
      <c r="N175">
        <v>4947</v>
      </c>
      <c r="O175">
        <v>13396</v>
      </c>
      <c r="P175">
        <v>13427</v>
      </c>
      <c r="Q175">
        <v>7362</v>
      </c>
      <c r="R175">
        <v>1560</v>
      </c>
      <c r="S175">
        <v>82</v>
      </c>
      <c r="T175">
        <v>850</v>
      </c>
      <c r="U175">
        <v>34112</v>
      </c>
      <c r="V175">
        <v>2594</v>
      </c>
      <c r="W175">
        <v>781</v>
      </c>
      <c r="X175">
        <v>22</v>
      </c>
      <c r="Y175">
        <v>2918</v>
      </c>
      <c r="Z175">
        <v>115</v>
      </c>
      <c r="AA175">
        <v>3033</v>
      </c>
    </row>
    <row r="176" spans="1:27" x14ac:dyDescent="0.3">
      <c r="A176">
        <v>15</v>
      </c>
      <c r="B176" t="s">
        <v>60</v>
      </c>
      <c r="C176">
        <v>2026</v>
      </c>
      <c r="D176">
        <v>7</v>
      </c>
      <c r="E176" t="s">
        <v>33</v>
      </c>
      <c r="F176">
        <v>211634</v>
      </c>
      <c r="G176">
        <v>0.85819999999999996</v>
      </c>
      <c r="H176">
        <v>70.3</v>
      </c>
      <c r="I176">
        <v>0.98180000000000001</v>
      </c>
      <c r="J176">
        <v>1436857</v>
      </c>
      <c r="K176">
        <v>0.44729999999999998</v>
      </c>
      <c r="L176">
        <v>0.83399999999999996</v>
      </c>
      <c r="M176">
        <v>151</v>
      </c>
      <c r="N176">
        <v>9493</v>
      </c>
      <c r="O176">
        <v>6280</v>
      </c>
      <c r="P176">
        <v>3309</v>
      </c>
      <c r="Q176">
        <v>41598</v>
      </c>
      <c r="R176">
        <v>802</v>
      </c>
      <c r="S176">
        <v>57</v>
      </c>
      <c r="T176">
        <v>1486</v>
      </c>
      <c r="U176">
        <v>38650</v>
      </c>
      <c r="V176">
        <v>2107</v>
      </c>
      <c r="W176">
        <v>163</v>
      </c>
      <c r="X176">
        <v>25</v>
      </c>
      <c r="Y176">
        <v>1032</v>
      </c>
      <c r="Z176">
        <v>53</v>
      </c>
      <c r="AA176">
        <v>1085</v>
      </c>
    </row>
    <row r="177" spans="1:27" x14ac:dyDescent="0.3">
      <c r="A177">
        <v>15</v>
      </c>
      <c r="B177" t="s">
        <v>60</v>
      </c>
      <c r="C177">
        <v>2026</v>
      </c>
      <c r="D177">
        <v>8</v>
      </c>
      <c r="E177" t="s">
        <v>34</v>
      </c>
      <c r="F177">
        <v>1472477</v>
      </c>
      <c r="G177">
        <v>0.88319999999999999</v>
      </c>
      <c r="H177">
        <v>92.6</v>
      </c>
      <c r="I177">
        <v>0.8831</v>
      </c>
      <c r="J177">
        <v>479159</v>
      </c>
      <c r="K177">
        <v>0.25180000000000002</v>
      </c>
      <c r="L177">
        <v>0.85060000000000002</v>
      </c>
      <c r="M177">
        <v>133</v>
      </c>
      <c r="N177">
        <v>5469</v>
      </c>
      <c r="O177">
        <v>5762</v>
      </c>
      <c r="P177">
        <v>12397</v>
      </c>
      <c r="Q177">
        <v>23173</v>
      </c>
      <c r="R177">
        <v>335</v>
      </c>
      <c r="S177">
        <v>54</v>
      </c>
      <c r="T177">
        <v>1321</v>
      </c>
      <c r="U177">
        <v>34048</v>
      </c>
      <c r="V177">
        <v>2103</v>
      </c>
      <c r="W177">
        <v>294</v>
      </c>
      <c r="X177">
        <v>427</v>
      </c>
      <c r="Y177">
        <v>2876</v>
      </c>
      <c r="Z177">
        <v>49</v>
      </c>
      <c r="AA177">
        <v>2925</v>
      </c>
    </row>
    <row r="178" spans="1:27" x14ac:dyDescent="0.3">
      <c r="A178">
        <v>15</v>
      </c>
      <c r="B178" t="s">
        <v>60</v>
      </c>
      <c r="C178">
        <v>2026</v>
      </c>
      <c r="D178">
        <v>9</v>
      </c>
      <c r="E178" t="s">
        <v>35</v>
      </c>
      <c r="F178">
        <v>894251</v>
      </c>
      <c r="G178">
        <v>0.88449999999999995</v>
      </c>
      <c r="H178">
        <v>90.6</v>
      </c>
      <c r="I178">
        <v>0.95940000000000003</v>
      </c>
      <c r="J178">
        <v>1666028</v>
      </c>
      <c r="K178">
        <v>0.71889999999999998</v>
      </c>
      <c r="L178">
        <v>0.68740000000000001</v>
      </c>
      <c r="M178">
        <v>27</v>
      </c>
      <c r="N178">
        <v>6523</v>
      </c>
      <c r="O178">
        <v>3736</v>
      </c>
      <c r="P178">
        <v>5599</v>
      </c>
      <c r="Q178">
        <v>27040</v>
      </c>
      <c r="R178">
        <v>1583</v>
      </c>
      <c r="S178">
        <v>56</v>
      </c>
      <c r="T178">
        <v>876</v>
      </c>
      <c r="U178">
        <v>43134</v>
      </c>
      <c r="V178">
        <v>1906</v>
      </c>
      <c r="W178">
        <v>921</v>
      </c>
      <c r="X178">
        <v>41</v>
      </c>
      <c r="Y178">
        <v>1140</v>
      </c>
      <c r="Z178">
        <v>187</v>
      </c>
      <c r="AA178">
        <v>1327</v>
      </c>
    </row>
    <row r="179" spans="1:27" x14ac:dyDescent="0.3">
      <c r="A179">
        <v>15</v>
      </c>
      <c r="B179" t="s">
        <v>60</v>
      </c>
      <c r="C179">
        <v>2026</v>
      </c>
      <c r="D179">
        <v>10</v>
      </c>
      <c r="E179" t="s">
        <v>40</v>
      </c>
      <c r="F179">
        <v>1490982</v>
      </c>
      <c r="G179">
        <v>0.93369999999999997</v>
      </c>
      <c r="H179">
        <v>5.3</v>
      </c>
      <c r="I179">
        <v>0.98180000000000001</v>
      </c>
      <c r="J179">
        <v>1105859</v>
      </c>
      <c r="K179">
        <v>0.86099999999999999</v>
      </c>
      <c r="L179">
        <v>0.6179</v>
      </c>
      <c r="M179">
        <v>162</v>
      </c>
      <c r="N179">
        <v>8112</v>
      </c>
      <c r="O179">
        <v>6927</v>
      </c>
      <c r="P179">
        <v>14583</v>
      </c>
      <c r="Q179">
        <v>22753</v>
      </c>
      <c r="R179">
        <v>1339</v>
      </c>
      <c r="S179">
        <v>28</v>
      </c>
      <c r="T179">
        <v>961</v>
      </c>
      <c r="U179">
        <v>29241</v>
      </c>
      <c r="V179">
        <v>1423</v>
      </c>
      <c r="W179">
        <v>287</v>
      </c>
      <c r="X179">
        <v>253</v>
      </c>
      <c r="Y179">
        <v>1780</v>
      </c>
      <c r="Z179">
        <v>137</v>
      </c>
      <c r="AA179">
        <v>1917</v>
      </c>
    </row>
    <row r="180" spans="1:27" x14ac:dyDescent="0.3">
      <c r="A180">
        <v>15</v>
      </c>
      <c r="B180" t="s">
        <v>60</v>
      </c>
      <c r="C180">
        <v>2026</v>
      </c>
      <c r="D180">
        <v>11</v>
      </c>
      <c r="E180" t="s">
        <v>41</v>
      </c>
      <c r="F180">
        <v>417544</v>
      </c>
      <c r="G180">
        <v>0.88339999999999996</v>
      </c>
      <c r="H180">
        <v>15.5</v>
      </c>
      <c r="I180">
        <v>0.93669999999999998</v>
      </c>
      <c r="J180">
        <v>940179</v>
      </c>
      <c r="K180">
        <v>0.7399</v>
      </c>
      <c r="L180">
        <v>0.64049999999999996</v>
      </c>
      <c r="M180">
        <v>161</v>
      </c>
      <c r="N180">
        <v>2729</v>
      </c>
      <c r="O180">
        <v>7226</v>
      </c>
      <c r="P180">
        <v>16731</v>
      </c>
      <c r="Q180">
        <v>3058</v>
      </c>
      <c r="R180">
        <v>817</v>
      </c>
      <c r="S180">
        <v>4</v>
      </c>
      <c r="T180">
        <v>465</v>
      </c>
      <c r="U180">
        <v>5657</v>
      </c>
      <c r="V180">
        <v>2857</v>
      </c>
      <c r="W180">
        <v>890</v>
      </c>
      <c r="X180">
        <v>470</v>
      </c>
      <c r="Y180">
        <v>580</v>
      </c>
      <c r="Z180">
        <v>145</v>
      </c>
      <c r="AA180">
        <v>725</v>
      </c>
    </row>
    <row r="181" spans="1:27" x14ac:dyDescent="0.3">
      <c r="A181">
        <v>15</v>
      </c>
      <c r="B181" t="s">
        <v>60</v>
      </c>
      <c r="C181">
        <v>2026</v>
      </c>
      <c r="D181">
        <v>12</v>
      </c>
      <c r="E181" t="s">
        <v>42</v>
      </c>
      <c r="F181">
        <v>594138</v>
      </c>
      <c r="G181">
        <v>0.98160000000000003</v>
      </c>
      <c r="H181">
        <v>69.900000000000006</v>
      </c>
      <c r="I181">
        <v>0.88439999999999996</v>
      </c>
      <c r="J181">
        <v>421515</v>
      </c>
      <c r="K181">
        <v>0.45340000000000003</v>
      </c>
      <c r="L181">
        <v>0.61929999999999996</v>
      </c>
      <c r="M181">
        <v>190</v>
      </c>
      <c r="N181">
        <v>8555</v>
      </c>
      <c r="O181">
        <v>3875</v>
      </c>
      <c r="P181">
        <v>3755</v>
      </c>
      <c r="Q181">
        <v>13257</v>
      </c>
      <c r="R181">
        <v>742</v>
      </c>
      <c r="S181">
        <v>48</v>
      </c>
      <c r="T181">
        <v>119</v>
      </c>
      <c r="U181">
        <v>48343</v>
      </c>
      <c r="V181">
        <v>3815</v>
      </c>
      <c r="W181">
        <v>418</v>
      </c>
      <c r="X181">
        <v>104</v>
      </c>
      <c r="Y181">
        <v>653</v>
      </c>
      <c r="Z181">
        <v>186</v>
      </c>
      <c r="AA181">
        <v>839</v>
      </c>
    </row>
    <row r="182" spans="1:27" x14ac:dyDescent="0.3">
      <c r="A182">
        <v>16</v>
      </c>
      <c r="B182" t="s">
        <v>61</v>
      </c>
      <c r="C182">
        <v>2026</v>
      </c>
      <c r="D182">
        <v>1</v>
      </c>
      <c r="E182" t="s">
        <v>27</v>
      </c>
      <c r="F182">
        <v>1295664</v>
      </c>
      <c r="G182">
        <v>0.95689999999999997</v>
      </c>
      <c r="H182">
        <v>66</v>
      </c>
      <c r="I182">
        <v>0.86019999999999996</v>
      </c>
      <c r="J182">
        <v>312968</v>
      </c>
      <c r="K182">
        <v>0.9022</v>
      </c>
      <c r="L182">
        <v>0.80169999999999997</v>
      </c>
      <c r="M182">
        <v>199</v>
      </c>
      <c r="N182">
        <v>7236</v>
      </c>
      <c r="O182">
        <v>6093</v>
      </c>
      <c r="P182">
        <v>19168</v>
      </c>
      <c r="Q182">
        <v>41546</v>
      </c>
      <c r="R182">
        <v>1080</v>
      </c>
      <c r="S182">
        <v>2</v>
      </c>
      <c r="T182">
        <v>989</v>
      </c>
      <c r="U182">
        <v>31012</v>
      </c>
      <c r="V182">
        <v>2420</v>
      </c>
      <c r="W182">
        <v>444</v>
      </c>
      <c r="X182">
        <v>84</v>
      </c>
      <c r="Y182">
        <v>1155</v>
      </c>
      <c r="Z182">
        <v>101</v>
      </c>
      <c r="AA182">
        <v>1256</v>
      </c>
    </row>
    <row r="183" spans="1:27" x14ac:dyDescent="0.3">
      <c r="A183">
        <v>16</v>
      </c>
      <c r="B183" t="s">
        <v>61</v>
      </c>
      <c r="C183">
        <v>2026</v>
      </c>
      <c r="D183">
        <v>2</v>
      </c>
      <c r="E183" t="s">
        <v>28</v>
      </c>
      <c r="F183">
        <v>1453585</v>
      </c>
      <c r="G183">
        <v>0.89039999999999997</v>
      </c>
      <c r="H183">
        <v>84.4</v>
      </c>
      <c r="I183">
        <v>0.87429999999999997</v>
      </c>
      <c r="J183">
        <v>802768</v>
      </c>
      <c r="K183">
        <v>0.54120000000000001</v>
      </c>
      <c r="L183">
        <v>0.69330000000000003</v>
      </c>
      <c r="M183">
        <v>97</v>
      </c>
      <c r="N183">
        <v>9880</v>
      </c>
      <c r="O183">
        <v>13573</v>
      </c>
      <c r="P183">
        <v>15098</v>
      </c>
      <c r="Q183">
        <v>49770</v>
      </c>
      <c r="R183">
        <v>1462</v>
      </c>
      <c r="S183">
        <v>21</v>
      </c>
      <c r="T183">
        <v>924</v>
      </c>
      <c r="U183">
        <v>29514</v>
      </c>
      <c r="V183">
        <v>1229</v>
      </c>
      <c r="W183">
        <v>337</v>
      </c>
      <c r="X183">
        <v>111</v>
      </c>
      <c r="Y183">
        <v>2787</v>
      </c>
      <c r="Z183">
        <v>197</v>
      </c>
      <c r="AA183">
        <v>2984</v>
      </c>
    </row>
    <row r="184" spans="1:27" x14ac:dyDescent="0.3">
      <c r="A184">
        <v>16</v>
      </c>
      <c r="B184" t="s">
        <v>61</v>
      </c>
      <c r="C184">
        <v>2026</v>
      </c>
      <c r="D184">
        <v>3</v>
      </c>
      <c r="E184" t="s">
        <v>29</v>
      </c>
      <c r="F184">
        <v>935928</v>
      </c>
      <c r="G184">
        <v>0.93440000000000001</v>
      </c>
      <c r="H184">
        <v>14.6</v>
      </c>
      <c r="I184">
        <v>0.91669999999999996</v>
      </c>
      <c r="J184">
        <v>1365457</v>
      </c>
      <c r="K184">
        <v>0.98799999999999999</v>
      </c>
      <c r="L184">
        <v>0.77149999999999996</v>
      </c>
      <c r="M184">
        <v>197</v>
      </c>
      <c r="N184">
        <v>3338</v>
      </c>
      <c r="O184">
        <v>10458</v>
      </c>
      <c r="P184">
        <v>5507</v>
      </c>
      <c r="Q184">
        <v>39508</v>
      </c>
      <c r="R184">
        <v>274</v>
      </c>
      <c r="S184">
        <v>89</v>
      </c>
      <c r="T184">
        <v>1412</v>
      </c>
      <c r="U184">
        <v>8143</v>
      </c>
      <c r="V184">
        <v>752</v>
      </c>
      <c r="W184">
        <v>441</v>
      </c>
      <c r="X184">
        <v>140</v>
      </c>
      <c r="Y184">
        <v>2703</v>
      </c>
      <c r="Z184">
        <v>81</v>
      </c>
      <c r="AA184">
        <v>2784</v>
      </c>
    </row>
    <row r="185" spans="1:27" x14ac:dyDescent="0.3">
      <c r="A185">
        <v>16</v>
      </c>
      <c r="B185" t="s">
        <v>61</v>
      </c>
      <c r="C185">
        <v>2026</v>
      </c>
      <c r="D185">
        <v>4</v>
      </c>
      <c r="E185" t="s">
        <v>30</v>
      </c>
      <c r="F185">
        <v>985850</v>
      </c>
      <c r="G185">
        <v>0.97019999999999995</v>
      </c>
      <c r="H185">
        <v>62.9</v>
      </c>
      <c r="I185">
        <v>0.92059999999999997</v>
      </c>
      <c r="J185">
        <v>383985</v>
      </c>
      <c r="K185">
        <v>0.44669999999999999</v>
      </c>
      <c r="L185">
        <v>0.75700000000000001</v>
      </c>
      <c r="M185">
        <v>79</v>
      </c>
      <c r="N185">
        <v>7027</v>
      </c>
      <c r="O185">
        <v>10299</v>
      </c>
      <c r="P185">
        <v>4824</v>
      </c>
      <c r="Q185">
        <v>31949</v>
      </c>
      <c r="R185">
        <v>1635</v>
      </c>
      <c r="S185">
        <v>40</v>
      </c>
      <c r="T185">
        <v>1448</v>
      </c>
      <c r="U185">
        <v>19160</v>
      </c>
      <c r="V185">
        <v>4321</v>
      </c>
      <c r="W185">
        <v>860</v>
      </c>
      <c r="X185">
        <v>228</v>
      </c>
      <c r="Y185">
        <v>1986</v>
      </c>
      <c r="Z185">
        <v>120</v>
      </c>
      <c r="AA185">
        <v>2106</v>
      </c>
    </row>
    <row r="186" spans="1:27" x14ac:dyDescent="0.3">
      <c r="A186">
        <v>16</v>
      </c>
      <c r="B186" t="s">
        <v>61</v>
      </c>
      <c r="C186">
        <v>2026</v>
      </c>
      <c r="D186">
        <v>5</v>
      </c>
      <c r="E186" t="s">
        <v>31</v>
      </c>
      <c r="F186">
        <v>488268</v>
      </c>
      <c r="G186">
        <v>0.9163</v>
      </c>
      <c r="H186">
        <v>86.4</v>
      </c>
      <c r="I186">
        <v>0.87529999999999997</v>
      </c>
      <c r="J186">
        <v>1018661</v>
      </c>
      <c r="K186">
        <v>0.9345</v>
      </c>
      <c r="L186">
        <v>0.5766</v>
      </c>
      <c r="M186">
        <v>80</v>
      </c>
      <c r="N186">
        <v>4195</v>
      </c>
      <c r="O186">
        <v>12512</v>
      </c>
      <c r="P186">
        <v>15582</v>
      </c>
      <c r="Q186">
        <v>2549</v>
      </c>
      <c r="R186">
        <v>482</v>
      </c>
      <c r="S186">
        <v>98</v>
      </c>
      <c r="T186">
        <v>1031</v>
      </c>
      <c r="U186">
        <v>12687</v>
      </c>
      <c r="V186">
        <v>3061</v>
      </c>
      <c r="W186">
        <v>976</v>
      </c>
      <c r="X186">
        <v>498</v>
      </c>
      <c r="Y186">
        <v>2235</v>
      </c>
      <c r="Z186">
        <v>192</v>
      </c>
      <c r="AA186">
        <v>2427</v>
      </c>
    </row>
    <row r="187" spans="1:27" x14ac:dyDescent="0.3">
      <c r="A187">
        <v>16</v>
      </c>
      <c r="B187" t="s">
        <v>61</v>
      </c>
      <c r="C187">
        <v>2026</v>
      </c>
      <c r="D187">
        <v>6</v>
      </c>
      <c r="E187" t="s">
        <v>32</v>
      </c>
      <c r="F187">
        <v>714806</v>
      </c>
      <c r="G187">
        <v>0.92879999999999996</v>
      </c>
      <c r="H187">
        <v>36.1</v>
      </c>
      <c r="I187">
        <v>0.95440000000000003</v>
      </c>
      <c r="J187">
        <v>1986805</v>
      </c>
      <c r="K187">
        <v>0.21329999999999999</v>
      </c>
      <c r="L187">
        <v>0.93159999999999998</v>
      </c>
      <c r="M187">
        <v>122</v>
      </c>
      <c r="N187">
        <v>7972</v>
      </c>
      <c r="O187">
        <v>12579</v>
      </c>
      <c r="P187">
        <v>5784</v>
      </c>
      <c r="Q187">
        <v>23813</v>
      </c>
      <c r="R187">
        <v>910</v>
      </c>
      <c r="S187">
        <v>8</v>
      </c>
      <c r="T187">
        <v>1422</v>
      </c>
      <c r="U187">
        <v>12626</v>
      </c>
      <c r="V187">
        <v>625</v>
      </c>
      <c r="W187">
        <v>794</v>
      </c>
      <c r="X187">
        <v>207</v>
      </c>
      <c r="Y187">
        <v>1483</v>
      </c>
      <c r="Z187">
        <v>53</v>
      </c>
      <c r="AA187">
        <v>1536</v>
      </c>
    </row>
    <row r="188" spans="1:27" x14ac:dyDescent="0.3">
      <c r="A188">
        <v>16</v>
      </c>
      <c r="B188" t="s">
        <v>61</v>
      </c>
      <c r="C188">
        <v>2026</v>
      </c>
      <c r="D188">
        <v>7</v>
      </c>
      <c r="E188" t="s">
        <v>33</v>
      </c>
      <c r="F188">
        <v>1167896</v>
      </c>
      <c r="G188">
        <v>0.96799999999999997</v>
      </c>
      <c r="H188">
        <v>61.7</v>
      </c>
      <c r="I188">
        <v>0.95089999999999997</v>
      </c>
      <c r="J188">
        <v>281729</v>
      </c>
      <c r="K188">
        <v>0.47699999999999998</v>
      </c>
      <c r="L188">
        <v>0.54510000000000003</v>
      </c>
      <c r="M188">
        <v>157</v>
      </c>
      <c r="N188">
        <v>1841</v>
      </c>
      <c r="O188">
        <v>9873</v>
      </c>
      <c r="P188">
        <v>19436</v>
      </c>
      <c r="Q188">
        <v>18518</v>
      </c>
      <c r="R188">
        <v>1427</v>
      </c>
      <c r="S188">
        <v>62</v>
      </c>
      <c r="T188">
        <v>1018</v>
      </c>
      <c r="U188">
        <v>38153</v>
      </c>
      <c r="V188">
        <v>4007</v>
      </c>
      <c r="W188">
        <v>151</v>
      </c>
      <c r="X188">
        <v>93</v>
      </c>
      <c r="Y188">
        <v>2222</v>
      </c>
      <c r="Z188">
        <v>144</v>
      </c>
      <c r="AA188">
        <v>2366</v>
      </c>
    </row>
    <row r="189" spans="1:27" x14ac:dyDescent="0.3">
      <c r="A189">
        <v>16</v>
      </c>
      <c r="B189" t="s">
        <v>61</v>
      </c>
      <c r="C189">
        <v>2026</v>
      </c>
      <c r="D189">
        <v>8</v>
      </c>
      <c r="E189" t="s">
        <v>34</v>
      </c>
      <c r="F189">
        <v>1265803</v>
      </c>
      <c r="G189">
        <v>0.86980000000000002</v>
      </c>
      <c r="H189">
        <v>31.9</v>
      </c>
      <c r="I189">
        <v>0.90959999999999996</v>
      </c>
      <c r="J189">
        <v>1668935</v>
      </c>
      <c r="K189">
        <v>0.32050000000000001</v>
      </c>
      <c r="L189">
        <v>0.70120000000000005</v>
      </c>
      <c r="M189">
        <v>132</v>
      </c>
      <c r="N189">
        <v>6390</v>
      </c>
      <c r="O189">
        <v>3210</v>
      </c>
      <c r="P189">
        <v>18836</v>
      </c>
      <c r="Q189">
        <v>19295</v>
      </c>
      <c r="R189">
        <v>145</v>
      </c>
      <c r="S189">
        <v>63</v>
      </c>
      <c r="T189">
        <v>912</v>
      </c>
      <c r="U189">
        <v>36292</v>
      </c>
      <c r="V189">
        <v>4071</v>
      </c>
      <c r="W189">
        <v>566</v>
      </c>
      <c r="X189">
        <v>466</v>
      </c>
      <c r="Y189">
        <v>2362</v>
      </c>
      <c r="Z189">
        <v>113</v>
      </c>
      <c r="AA189">
        <v>2475</v>
      </c>
    </row>
    <row r="190" spans="1:27" x14ac:dyDescent="0.3">
      <c r="A190">
        <v>16</v>
      </c>
      <c r="B190" t="s">
        <v>61</v>
      </c>
      <c r="C190">
        <v>2026</v>
      </c>
      <c r="D190">
        <v>9</v>
      </c>
      <c r="E190" t="s">
        <v>35</v>
      </c>
      <c r="F190">
        <v>74639</v>
      </c>
      <c r="G190">
        <v>0.97529999999999994</v>
      </c>
      <c r="H190">
        <v>11.9</v>
      </c>
      <c r="I190">
        <v>0.91479999999999995</v>
      </c>
      <c r="J190">
        <v>470340</v>
      </c>
      <c r="K190">
        <v>0.81359999999999999</v>
      </c>
      <c r="L190">
        <v>0.70099999999999996</v>
      </c>
      <c r="M190">
        <v>87</v>
      </c>
      <c r="N190">
        <v>2885</v>
      </c>
      <c r="O190">
        <v>10529</v>
      </c>
      <c r="P190">
        <v>4799</v>
      </c>
      <c r="Q190">
        <v>21573</v>
      </c>
      <c r="R190">
        <v>305</v>
      </c>
      <c r="S190">
        <v>78</v>
      </c>
      <c r="T190">
        <v>663</v>
      </c>
      <c r="U190">
        <v>49259</v>
      </c>
      <c r="V190">
        <v>847</v>
      </c>
      <c r="W190">
        <v>162</v>
      </c>
      <c r="X190">
        <v>379</v>
      </c>
      <c r="Y190">
        <v>2811</v>
      </c>
      <c r="Z190">
        <v>144</v>
      </c>
      <c r="AA190">
        <v>2955</v>
      </c>
    </row>
    <row r="191" spans="1:27" x14ac:dyDescent="0.3">
      <c r="A191">
        <v>16</v>
      </c>
      <c r="B191" t="s">
        <v>61</v>
      </c>
      <c r="C191">
        <v>2026</v>
      </c>
      <c r="D191">
        <v>10</v>
      </c>
      <c r="E191" t="s">
        <v>40</v>
      </c>
      <c r="F191">
        <v>1365651</v>
      </c>
      <c r="G191">
        <v>0.85360000000000003</v>
      </c>
      <c r="H191">
        <v>23.9</v>
      </c>
      <c r="I191">
        <v>0.98599999999999999</v>
      </c>
      <c r="J191">
        <v>1850415</v>
      </c>
      <c r="K191">
        <v>0.2162</v>
      </c>
      <c r="L191">
        <v>0.82410000000000005</v>
      </c>
      <c r="M191">
        <v>71</v>
      </c>
      <c r="N191">
        <v>2515</v>
      </c>
      <c r="O191">
        <v>14527</v>
      </c>
      <c r="P191">
        <v>17945</v>
      </c>
      <c r="Q191">
        <v>48406</v>
      </c>
      <c r="R191">
        <v>330</v>
      </c>
      <c r="S191">
        <v>28</v>
      </c>
      <c r="T191">
        <v>911</v>
      </c>
      <c r="U191">
        <v>43530</v>
      </c>
      <c r="V191">
        <v>1114</v>
      </c>
      <c r="W191">
        <v>653</v>
      </c>
      <c r="X191">
        <v>427</v>
      </c>
      <c r="Y191">
        <v>1118</v>
      </c>
      <c r="Z191">
        <v>78</v>
      </c>
      <c r="AA191">
        <v>1196</v>
      </c>
    </row>
    <row r="192" spans="1:27" x14ac:dyDescent="0.3">
      <c r="A192">
        <v>16</v>
      </c>
      <c r="B192" t="s">
        <v>61</v>
      </c>
      <c r="C192">
        <v>2026</v>
      </c>
      <c r="D192">
        <v>11</v>
      </c>
      <c r="E192" t="s">
        <v>41</v>
      </c>
      <c r="F192">
        <v>502097</v>
      </c>
      <c r="G192">
        <v>0.96989999999999998</v>
      </c>
      <c r="H192">
        <v>97</v>
      </c>
      <c r="I192">
        <v>0.85519999999999996</v>
      </c>
      <c r="J192">
        <v>796277</v>
      </c>
      <c r="K192">
        <v>0.27300000000000002</v>
      </c>
      <c r="L192">
        <v>0.65839999999999999</v>
      </c>
      <c r="M192">
        <v>180</v>
      </c>
      <c r="N192">
        <v>4822</v>
      </c>
      <c r="O192">
        <v>8563</v>
      </c>
      <c r="P192">
        <v>10944</v>
      </c>
      <c r="Q192">
        <v>29920</v>
      </c>
      <c r="R192">
        <v>656</v>
      </c>
      <c r="S192">
        <v>33</v>
      </c>
      <c r="T192">
        <v>452</v>
      </c>
      <c r="U192">
        <v>25096</v>
      </c>
      <c r="V192">
        <v>1510</v>
      </c>
      <c r="W192">
        <v>523</v>
      </c>
      <c r="X192">
        <v>363</v>
      </c>
      <c r="Y192">
        <v>1120</v>
      </c>
      <c r="Z192">
        <v>36</v>
      </c>
      <c r="AA192">
        <v>1156</v>
      </c>
    </row>
    <row r="193" spans="1:27" x14ac:dyDescent="0.3">
      <c r="A193">
        <v>16</v>
      </c>
      <c r="B193" t="s">
        <v>61</v>
      </c>
      <c r="C193">
        <v>2026</v>
      </c>
      <c r="D193">
        <v>12</v>
      </c>
      <c r="E193" t="s">
        <v>42</v>
      </c>
      <c r="F193">
        <v>114544</v>
      </c>
      <c r="G193">
        <v>0.87260000000000004</v>
      </c>
      <c r="H193">
        <v>14.2</v>
      </c>
      <c r="I193">
        <v>0.89639999999999997</v>
      </c>
      <c r="J193">
        <v>1889684</v>
      </c>
      <c r="K193">
        <v>0.3216</v>
      </c>
      <c r="L193">
        <v>0.77900000000000003</v>
      </c>
      <c r="M193">
        <v>126</v>
      </c>
      <c r="N193">
        <v>3433</v>
      </c>
      <c r="O193">
        <v>3306</v>
      </c>
      <c r="P193">
        <v>5304</v>
      </c>
      <c r="Q193">
        <v>8165</v>
      </c>
      <c r="R193">
        <v>729</v>
      </c>
      <c r="S193">
        <v>13</v>
      </c>
      <c r="T193">
        <v>344</v>
      </c>
      <c r="U193">
        <v>17340</v>
      </c>
      <c r="V193">
        <v>4662</v>
      </c>
      <c r="W193">
        <v>189</v>
      </c>
      <c r="X193">
        <v>484</v>
      </c>
      <c r="Y193">
        <v>2538</v>
      </c>
      <c r="Z193">
        <v>159</v>
      </c>
      <c r="AA193">
        <v>2697</v>
      </c>
    </row>
    <row r="194" spans="1:27" x14ac:dyDescent="0.3">
      <c r="A194">
        <v>17</v>
      </c>
      <c r="B194" t="s">
        <v>62</v>
      </c>
      <c r="C194">
        <v>2026</v>
      </c>
      <c r="D194">
        <v>1</v>
      </c>
      <c r="E194" t="s">
        <v>27</v>
      </c>
      <c r="F194">
        <v>1359026</v>
      </c>
      <c r="G194">
        <v>0.90849999999999997</v>
      </c>
      <c r="H194">
        <v>58.5</v>
      </c>
      <c r="I194">
        <v>0.86680000000000001</v>
      </c>
      <c r="J194">
        <v>1822040</v>
      </c>
      <c r="K194">
        <v>0.82420000000000004</v>
      </c>
      <c r="L194">
        <v>0.52769999999999995</v>
      </c>
      <c r="M194">
        <v>36</v>
      </c>
      <c r="N194">
        <v>4263</v>
      </c>
      <c r="O194">
        <v>6780</v>
      </c>
      <c r="P194">
        <v>15164</v>
      </c>
      <c r="Q194">
        <v>5232</v>
      </c>
      <c r="R194">
        <v>1795</v>
      </c>
      <c r="S194">
        <v>23</v>
      </c>
      <c r="T194">
        <v>1120</v>
      </c>
      <c r="U194">
        <v>44032</v>
      </c>
      <c r="V194">
        <v>548</v>
      </c>
      <c r="W194">
        <v>801</v>
      </c>
      <c r="X194">
        <v>390</v>
      </c>
      <c r="Y194">
        <v>2550</v>
      </c>
      <c r="Z194">
        <v>172</v>
      </c>
      <c r="AA194">
        <v>2722</v>
      </c>
    </row>
    <row r="195" spans="1:27" x14ac:dyDescent="0.3">
      <c r="A195">
        <v>17</v>
      </c>
      <c r="B195" t="s">
        <v>62</v>
      </c>
      <c r="C195">
        <v>2026</v>
      </c>
      <c r="D195">
        <v>2</v>
      </c>
      <c r="E195" t="s">
        <v>28</v>
      </c>
      <c r="F195">
        <v>924510</v>
      </c>
      <c r="G195">
        <v>0.9123</v>
      </c>
      <c r="H195">
        <v>98.9</v>
      </c>
      <c r="I195">
        <v>0.9244</v>
      </c>
      <c r="J195">
        <v>210755</v>
      </c>
      <c r="K195">
        <v>0.73440000000000005</v>
      </c>
      <c r="L195">
        <v>0.55720000000000003</v>
      </c>
      <c r="M195">
        <v>155</v>
      </c>
      <c r="N195">
        <v>9667</v>
      </c>
      <c r="O195">
        <v>14865</v>
      </c>
      <c r="P195">
        <v>2959</v>
      </c>
      <c r="Q195">
        <v>18687</v>
      </c>
      <c r="R195">
        <v>837</v>
      </c>
      <c r="S195">
        <v>4</v>
      </c>
      <c r="T195">
        <v>1004</v>
      </c>
      <c r="U195">
        <v>8330</v>
      </c>
      <c r="V195">
        <v>3454</v>
      </c>
      <c r="W195">
        <v>373</v>
      </c>
      <c r="X195">
        <v>122</v>
      </c>
      <c r="Y195">
        <v>2019</v>
      </c>
      <c r="Z195">
        <v>155</v>
      </c>
      <c r="AA195">
        <v>2174</v>
      </c>
    </row>
    <row r="196" spans="1:27" x14ac:dyDescent="0.3">
      <c r="A196">
        <v>17</v>
      </c>
      <c r="B196" t="s">
        <v>62</v>
      </c>
      <c r="C196">
        <v>2026</v>
      </c>
      <c r="D196">
        <v>3</v>
      </c>
      <c r="E196" t="s">
        <v>29</v>
      </c>
      <c r="F196">
        <v>1480439</v>
      </c>
      <c r="G196">
        <v>0.8619</v>
      </c>
      <c r="H196">
        <v>27.7</v>
      </c>
      <c r="I196">
        <v>0.90739999999999998</v>
      </c>
      <c r="J196">
        <v>1987641</v>
      </c>
      <c r="K196">
        <v>0.78800000000000003</v>
      </c>
      <c r="L196">
        <v>0.52949999999999997</v>
      </c>
      <c r="M196">
        <v>35</v>
      </c>
      <c r="N196">
        <v>4682</v>
      </c>
      <c r="O196">
        <v>4144</v>
      </c>
      <c r="P196">
        <v>9153</v>
      </c>
      <c r="Q196">
        <v>23231</v>
      </c>
      <c r="R196">
        <v>337</v>
      </c>
      <c r="S196">
        <v>84</v>
      </c>
      <c r="T196">
        <v>1211</v>
      </c>
      <c r="U196">
        <v>14561</v>
      </c>
      <c r="V196">
        <v>2412</v>
      </c>
      <c r="W196">
        <v>135</v>
      </c>
      <c r="X196">
        <v>344</v>
      </c>
      <c r="Y196">
        <v>1023</v>
      </c>
      <c r="Z196">
        <v>102</v>
      </c>
      <c r="AA196">
        <v>1125</v>
      </c>
    </row>
    <row r="197" spans="1:27" x14ac:dyDescent="0.3">
      <c r="A197">
        <v>17</v>
      </c>
      <c r="B197" t="s">
        <v>62</v>
      </c>
      <c r="C197">
        <v>2026</v>
      </c>
      <c r="D197">
        <v>4</v>
      </c>
      <c r="E197" t="s">
        <v>30</v>
      </c>
      <c r="F197">
        <v>149638</v>
      </c>
      <c r="G197">
        <v>0.9556</v>
      </c>
      <c r="H197">
        <v>44.3</v>
      </c>
      <c r="I197">
        <v>0.96089999999999998</v>
      </c>
      <c r="J197">
        <v>1881715</v>
      </c>
      <c r="K197">
        <v>0.3448</v>
      </c>
      <c r="L197">
        <v>0.71650000000000003</v>
      </c>
      <c r="M197">
        <v>186</v>
      </c>
      <c r="N197">
        <v>9847</v>
      </c>
      <c r="O197">
        <v>5311</v>
      </c>
      <c r="P197">
        <v>5680</v>
      </c>
      <c r="Q197">
        <v>18036</v>
      </c>
      <c r="R197">
        <v>1585</v>
      </c>
      <c r="S197">
        <v>32</v>
      </c>
      <c r="T197">
        <v>475</v>
      </c>
      <c r="U197">
        <v>33068</v>
      </c>
      <c r="V197">
        <v>4038</v>
      </c>
      <c r="W197">
        <v>190</v>
      </c>
      <c r="X197">
        <v>350</v>
      </c>
      <c r="Y197">
        <v>1463</v>
      </c>
      <c r="Z197">
        <v>77</v>
      </c>
      <c r="AA197">
        <v>1540</v>
      </c>
    </row>
    <row r="198" spans="1:27" x14ac:dyDescent="0.3">
      <c r="A198">
        <v>17</v>
      </c>
      <c r="B198" t="s">
        <v>62</v>
      </c>
      <c r="C198">
        <v>2026</v>
      </c>
      <c r="D198">
        <v>5</v>
      </c>
      <c r="E198" t="s">
        <v>31</v>
      </c>
      <c r="F198">
        <v>269658</v>
      </c>
      <c r="G198">
        <v>0.94340000000000002</v>
      </c>
      <c r="H198">
        <v>23.6</v>
      </c>
      <c r="I198">
        <v>0.9476</v>
      </c>
      <c r="J198">
        <v>724965</v>
      </c>
      <c r="K198">
        <v>0.59260000000000002</v>
      </c>
      <c r="L198">
        <v>0.87729999999999997</v>
      </c>
      <c r="M198">
        <v>98</v>
      </c>
      <c r="N198">
        <v>5686</v>
      </c>
      <c r="O198">
        <v>8209</v>
      </c>
      <c r="P198">
        <v>16277</v>
      </c>
      <c r="Q198">
        <v>31085</v>
      </c>
      <c r="R198">
        <v>1027</v>
      </c>
      <c r="S198">
        <v>69</v>
      </c>
      <c r="T198">
        <v>455</v>
      </c>
      <c r="U198">
        <v>24059</v>
      </c>
      <c r="V198">
        <v>2479</v>
      </c>
      <c r="W198">
        <v>267</v>
      </c>
      <c r="X198">
        <v>296</v>
      </c>
      <c r="Y198">
        <v>2772</v>
      </c>
      <c r="Z198">
        <v>48</v>
      </c>
      <c r="AA198">
        <v>2820</v>
      </c>
    </row>
    <row r="199" spans="1:27" x14ac:dyDescent="0.3">
      <c r="A199">
        <v>17</v>
      </c>
      <c r="B199" t="s">
        <v>62</v>
      </c>
      <c r="C199">
        <v>2026</v>
      </c>
      <c r="D199">
        <v>6</v>
      </c>
      <c r="E199" t="s">
        <v>32</v>
      </c>
      <c r="F199">
        <v>938959</v>
      </c>
      <c r="G199">
        <v>0.96250000000000002</v>
      </c>
      <c r="H199">
        <v>68</v>
      </c>
      <c r="I199">
        <v>0.89539999999999997</v>
      </c>
      <c r="J199">
        <v>824332</v>
      </c>
      <c r="K199">
        <v>0.72</v>
      </c>
      <c r="L199">
        <v>0.76070000000000004</v>
      </c>
      <c r="M199">
        <v>60</v>
      </c>
      <c r="N199">
        <v>6377</v>
      </c>
      <c r="O199">
        <v>2232</v>
      </c>
      <c r="P199">
        <v>4434</v>
      </c>
      <c r="Q199">
        <v>23533</v>
      </c>
      <c r="R199">
        <v>809</v>
      </c>
      <c r="S199">
        <v>3</v>
      </c>
      <c r="T199">
        <v>912</v>
      </c>
      <c r="U199">
        <v>44140</v>
      </c>
      <c r="V199">
        <v>4167</v>
      </c>
      <c r="W199">
        <v>259</v>
      </c>
      <c r="X199">
        <v>328</v>
      </c>
      <c r="Y199">
        <v>962</v>
      </c>
      <c r="Z199">
        <v>134</v>
      </c>
      <c r="AA199">
        <v>1096</v>
      </c>
    </row>
    <row r="200" spans="1:27" x14ac:dyDescent="0.3">
      <c r="A200">
        <v>17</v>
      </c>
      <c r="B200" t="s">
        <v>62</v>
      </c>
      <c r="C200">
        <v>2026</v>
      </c>
      <c r="D200">
        <v>7</v>
      </c>
      <c r="E200" t="s">
        <v>33</v>
      </c>
      <c r="F200">
        <v>1351752</v>
      </c>
      <c r="G200">
        <v>0.89380000000000004</v>
      </c>
      <c r="H200">
        <v>36.299999999999997</v>
      </c>
      <c r="I200">
        <v>0.91539999999999999</v>
      </c>
      <c r="J200">
        <v>799709</v>
      </c>
      <c r="K200">
        <v>0.68389999999999995</v>
      </c>
      <c r="L200">
        <v>0.94720000000000004</v>
      </c>
      <c r="M200">
        <v>130</v>
      </c>
      <c r="N200">
        <v>2238</v>
      </c>
      <c r="O200">
        <v>8707</v>
      </c>
      <c r="P200">
        <v>9157</v>
      </c>
      <c r="Q200">
        <v>19023</v>
      </c>
      <c r="R200">
        <v>1960</v>
      </c>
      <c r="S200">
        <v>28</v>
      </c>
      <c r="T200">
        <v>870</v>
      </c>
      <c r="U200">
        <v>19678</v>
      </c>
      <c r="V200">
        <v>1563</v>
      </c>
      <c r="W200">
        <v>205</v>
      </c>
      <c r="X200">
        <v>116</v>
      </c>
      <c r="Y200">
        <v>2357</v>
      </c>
      <c r="Z200">
        <v>142</v>
      </c>
      <c r="AA200">
        <v>2499</v>
      </c>
    </row>
    <row r="201" spans="1:27" x14ac:dyDescent="0.3">
      <c r="A201">
        <v>17</v>
      </c>
      <c r="B201" t="s">
        <v>62</v>
      </c>
      <c r="C201">
        <v>2026</v>
      </c>
      <c r="D201">
        <v>8</v>
      </c>
      <c r="E201" t="s">
        <v>34</v>
      </c>
      <c r="F201">
        <v>1445338</v>
      </c>
      <c r="G201">
        <v>0.90080000000000005</v>
      </c>
      <c r="H201">
        <v>73.099999999999994</v>
      </c>
      <c r="I201">
        <v>0.90920000000000001</v>
      </c>
      <c r="J201">
        <v>1130555</v>
      </c>
      <c r="K201">
        <v>0.80220000000000002</v>
      </c>
      <c r="L201">
        <v>0.95430000000000004</v>
      </c>
      <c r="M201">
        <v>118</v>
      </c>
      <c r="N201">
        <v>9352</v>
      </c>
      <c r="O201">
        <v>14429</v>
      </c>
      <c r="P201">
        <v>19658</v>
      </c>
      <c r="Q201">
        <v>45373</v>
      </c>
      <c r="R201">
        <v>1430</v>
      </c>
      <c r="S201">
        <v>61</v>
      </c>
      <c r="T201">
        <v>169</v>
      </c>
      <c r="U201">
        <v>38987</v>
      </c>
      <c r="V201">
        <v>3443</v>
      </c>
      <c r="W201">
        <v>331</v>
      </c>
      <c r="X201">
        <v>205</v>
      </c>
      <c r="Y201">
        <v>736</v>
      </c>
      <c r="Z201">
        <v>57</v>
      </c>
      <c r="AA201">
        <v>793</v>
      </c>
    </row>
    <row r="202" spans="1:27" x14ac:dyDescent="0.3">
      <c r="A202">
        <v>17</v>
      </c>
      <c r="B202" t="s">
        <v>62</v>
      </c>
      <c r="C202">
        <v>2026</v>
      </c>
      <c r="D202">
        <v>9</v>
      </c>
      <c r="E202" t="s">
        <v>35</v>
      </c>
      <c r="F202">
        <v>1128270</v>
      </c>
      <c r="G202">
        <v>0.86860000000000004</v>
      </c>
      <c r="H202">
        <v>64.7</v>
      </c>
      <c r="I202">
        <v>0.91569999999999996</v>
      </c>
      <c r="J202">
        <v>1822423</v>
      </c>
      <c r="K202">
        <v>0.3473</v>
      </c>
      <c r="L202">
        <v>0.63859999999999995</v>
      </c>
      <c r="M202">
        <v>172</v>
      </c>
      <c r="N202">
        <v>9378</v>
      </c>
      <c r="O202">
        <v>6584</v>
      </c>
      <c r="P202">
        <v>1681</v>
      </c>
      <c r="Q202">
        <v>13286</v>
      </c>
      <c r="R202">
        <v>970</v>
      </c>
      <c r="S202">
        <v>43</v>
      </c>
      <c r="T202">
        <v>221</v>
      </c>
      <c r="U202">
        <v>45262</v>
      </c>
      <c r="V202">
        <v>3471</v>
      </c>
      <c r="W202">
        <v>158</v>
      </c>
      <c r="X202">
        <v>496</v>
      </c>
      <c r="Y202">
        <v>890</v>
      </c>
      <c r="Z202">
        <v>71</v>
      </c>
      <c r="AA202">
        <v>961</v>
      </c>
    </row>
    <row r="203" spans="1:27" x14ac:dyDescent="0.3">
      <c r="A203">
        <v>17</v>
      </c>
      <c r="B203" t="s">
        <v>62</v>
      </c>
      <c r="C203">
        <v>2026</v>
      </c>
      <c r="D203">
        <v>10</v>
      </c>
      <c r="E203" t="s">
        <v>40</v>
      </c>
      <c r="F203">
        <v>850218</v>
      </c>
      <c r="G203">
        <v>0.89800000000000002</v>
      </c>
      <c r="H203">
        <v>53.2</v>
      </c>
      <c r="I203">
        <v>0.85680000000000001</v>
      </c>
      <c r="J203">
        <v>1172930</v>
      </c>
      <c r="K203">
        <v>0.98640000000000005</v>
      </c>
      <c r="L203">
        <v>0.83830000000000005</v>
      </c>
      <c r="M203">
        <v>89</v>
      </c>
      <c r="N203">
        <v>7720</v>
      </c>
      <c r="O203">
        <v>1198</v>
      </c>
      <c r="P203">
        <v>10848</v>
      </c>
      <c r="Q203">
        <v>1719</v>
      </c>
      <c r="R203">
        <v>133</v>
      </c>
      <c r="S203">
        <v>92</v>
      </c>
      <c r="T203">
        <v>1228</v>
      </c>
      <c r="U203">
        <v>16279</v>
      </c>
      <c r="V203">
        <v>4072</v>
      </c>
      <c r="W203">
        <v>401</v>
      </c>
      <c r="X203">
        <v>242</v>
      </c>
      <c r="Y203">
        <v>1034</v>
      </c>
      <c r="Z203">
        <v>19</v>
      </c>
      <c r="AA203">
        <v>1053</v>
      </c>
    </row>
    <row r="204" spans="1:27" x14ac:dyDescent="0.3">
      <c r="A204">
        <v>17</v>
      </c>
      <c r="B204" t="s">
        <v>62</v>
      </c>
      <c r="C204">
        <v>2026</v>
      </c>
      <c r="D204">
        <v>11</v>
      </c>
      <c r="E204" t="s">
        <v>41</v>
      </c>
      <c r="F204">
        <v>648131</v>
      </c>
      <c r="G204">
        <v>0.96950000000000003</v>
      </c>
      <c r="H204">
        <v>55.5</v>
      </c>
      <c r="I204">
        <v>0.85770000000000002</v>
      </c>
      <c r="J204">
        <v>691980</v>
      </c>
      <c r="K204">
        <v>0.74860000000000004</v>
      </c>
      <c r="L204">
        <v>0.7056</v>
      </c>
      <c r="M204">
        <v>149</v>
      </c>
      <c r="N204">
        <v>7548</v>
      </c>
      <c r="O204">
        <v>699</v>
      </c>
      <c r="P204">
        <v>2541</v>
      </c>
      <c r="Q204">
        <v>49234</v>
      </c>
      <c r="R204">
        <v>1264</v>
      </c>
      <c r="S204">
        <v>90</v>
      </c>
      <c r="T204">
        <v>297</v>
      </c>
      <c r="U204">
        <v>42562</v>
      </c>
      <c r="V204">
        <v>2320</v>
      </c>
      <c r="W204">
        <v>838</v>
      </c>
      <c r="X204">
        <v>66</v>
      </c>
      <c r="Y204">
        <v>685</v>
      </c>
      <c r="Z204">
        <v>117</v>
      </c>
      <c r="AA204">
        <v>802</v>
      </c>
    </row>
    <row r="205" spans="1:27" x14ac:dyDescent="0.3">
      <c r="A205">
        <v>17</v>
      </c>
      <c r="B205" t="s">
        <v>62</v>
      </c>
      <c r="C205">
        <v>2026</v>
      </c>
      <c r="D205">
        <v>12</v>
      </c>
      <c r="E205" t="s">
        <v>42</v>
      </c>
      <c r="F205">
        <v>1350098</v>
      </c>
      <c r="G205">
        <v>0.94789999999999996</v>
      </c>
      <c r="H205">
        <v>40.200000000000003</v>
      </c>
      <c r="I205">
        <v>0.91720000000000002</v>
      </c>
      <c r="J205">
        <v>535729</v>
      </c>
      <c r="K205">
        <v>0.39539999999999997</v>
      </c>
      <c r="L205">
        <v>0.6361</v>
      </c>
      <c r="M205">
        <v>121</v>
      </c>
      <c r="N205">
        <v>8393</v>
      </c>
      <c r="O205">
        <v>12503</v>
      </c>
      <c r="P205">
        <v>16118</v>
      </c>
      <c r="Q205">
        <v>25913</v>
      </c>
      <c r="R205">
        <v>1589</v>
      </c>
      <c r="S205">
        <v>72</v>
      </c>
      <c r="T205">
        <v>700</v>
      </c>
      <c r="U205">
        <v>21005</v>
      </c>
      <c r="V205">
        <v>3198</v>
      </c>
      <c r="W205">
        <v>811</v>
      </c>
      <c r="X205">
        <v>476</v>
      </c>
      <c r="Y205">
        <v>993</v>
      </c>
      <c r="Z205">
        <v>131</v>
      </c>
      <c r="AA205">
        <v>1124</v>
      </c>
    </row>
    <row r="206" spans="1:27" x14ac:dyDescent="0.3">
      <c r="A206">
        <v>18</v>
      </c>
      <c r="B206" t="s">
        <v>63</v>
      </c>
      <c r="C206">
        <v>2026</v>
      </c>
      <c r="D206">
        <v>1</v>
      </c>
      <c r="E206" t="s">
        <v>27</v>
      </c>
      <c r="F206">
        <v>424301</v>
      </c>
      <c r="G206">
        <v>0.9486</v>
      </c>
      <c r="H206">
        <v>95.6</v>
      </c>
      <c r="I206">
        <v>0.89980000000000004</v>
      </c>
      <c r="J206">
        <v>294178</v>
      </c>
      <c r="K206">
        <v>0.60109999999999997</v>
      </c>
      <c r="L206">
        <v>0.7248</v>
      </c>
      <c r="M206">
        <v>147</v>
      </c>
      <c r="N206">
        <v>5829</v>
      </c>
      <c r="O206">
        <v>2214</v>
      </c>
      <c r="P206">
        <v>4833</v>
      </c>
      <c r="Q206">
        <v>2727</v>
      </c>
      <c r="R206">
        <v>1302</v>
      </c>
      <c r="S206">
        <v>66</v>
      </c>
      <c r="T206">
        <v>975</v>
      </c>
      <c r="U206">
        <v>12017</v>
      </c>
      <c r="V206">
        <v>3033</v>
      </c>
      <c r="W206">
        <v>773</v>
      </c>
      <c r="X206">
        <v>112</v>
      </c>
      <c r="Y206">
        <v>2313</v>
      </c>
      <c r="Z206">
        <v>84</v>
      </c>
      <c r="AA206">
        <v>2397</v>
      </c>
    </row>
    <row r="207" spans="1:27" x14ac:dyDescent="0.3">
      <c r="A207">
        <v>18</v>
      </c>
      <c r="B207" t="s">
        <v>63</v>
      </c>
      <c r="C207">
        <v>2026</v>
      </c>
      <c r="D207">
        <v>2</v>
      </c>
      <c r="E207" t="s">
        <v>28</v>
      </c>
      <c r="F207">
        <v>402993</v>
      </c>
      <c r="G207">
        <v>0.90559999999999996</v>
      </c>
      <c r="H207">
        <v>50.2</v>
      </c>
      <c r="I207">
        <v>0.88460000000000005</v>
      </c>
      <c r="J207">
        <v>155324</v>
      </c>
      <c r="K207">
        <v>0.5181</v>
      </c>
      <c r="L207">
        <v>0.8024</v>
      </c>
      <c r="M207">
        <v>10</v>
      </c>
      <c r="N207">
        <v>8421</v>
      </c>
      <c r="O207">
        <v>5257</v>
      </c>
      <c r="P207">
        <v>19433</v>
      </c>
      <c r="Q207">
        <v>15013</v>
      </c>
      <c r="R207">
        <v>571</v>
      </c>
      <c r="S207">
        <v>33</v>
      </c>
      <c r="T207">
        <v>601</v>
      </c>
      <c r="U207">
        <v>24410</v>
      </c>
      <c r="V207">
        <v>2687</v>
      </c>
      <c r="W207">
        <v>761</v>
      </c>
      <c r="X207">
        <v>78</v>
      </c>
      <c r="Y207">
        <v>1035</v>
      </c>
      <c r="Z207">
        <v>102</v>
      </c>
      <c r="AA207">
        <v>1137</v>
      </c>
    </row>
    <row r="208" spans="1:27" x14ac:dyDescent="0.3">
      <c r="A208">
        <v>18</v>
      </c>
      <c r="B208" t="s">
        <v>63</v>
      </c>
      <c r="C208">
        <v>2026</v>
      </c>
      <c r="D208">
        <v>3</v>
      </c>
      <c r="E208" t="s">
        <v>29</v>
      </c>
      <c r="F208">
        <v>1036818</v>
      </c>
      <c r="G208">
        <v>0.8831</v>
      </c>
      <c r="H208">
        <v>11.7</v>
      </c>
      <c r="I208">
        <v>0.88880000000000003</v>
      </c>
      <c r="J208">
        <v>1380634</v>
      </c>
      <c r="K208">
        <v>0.81630000000000003</v>
      </c>
      <c r="L208">
        <v>0.88919999999999999</v>
      </c>
      <c r="M208">
        <v>112</v>
      </c>
      <c r="N208">
        <v>9070</v>
      </c>
      <c r="O208">
        <v>14634</v>
      </c>
      <c r="P208">
        <v>15046</v>
      </c>
      <c r="Q208">
        <v>36877</v>
      </c>
      <c r="R208">
        <v>1924</v>
      </c>
      <c r="S208">
        <v>60</v>
      </c>
      <c r="T208">
        <v>822</v>
      </c>
      <c r="U208">
        <v>2547</v>
      </c>
      <c r="V208">
        <v>1611</v>
      </c>
      <c r="W208">
        <v>195</v>
      </c>
      <c r="X208">
        <v>218</v>
      </c>
      <c r="Y208">
        <v>823</v>
      </c>
      <c r="Z208">
        <v>118</v>
      </c>
      <c r="AA208">
        <v>941</v>
      </c>
    </row>
    <row r="209" spans="1:27" x14ac:dyDescent="0.3">
      <c r="A209">
        <v>18</v>
      </c>
      <c r="B209" t="s">
        <v>63</v>
      </c>
      <c r="C209">
        <v>2026</v>
      </c>
      <c r="D209">
        <v>4</v>
      </c>
      <c r="E209" t="s">
        <v>30</v>
      </c>
      <c r="F209">
        <v>181243</v>
      </c>
      <c r="G209">
        <v>0.88719999999999999</v>
      </c>
      <c r="H209">
        <v>14.8</v>
      </c>
      <c r="I209">
        <v>0.91839999999999999</v>
      </c>
      <c r="J209">
        <v>1414991</v>
      </c>
      <c r="K209">
        <v>0.72289999999999999</v>
      </c>
      <c r="L209">
        <v>0.71079999999999999</v>
      </c>
      <c r="M209">
        <v>172</v>
      </c>
      <c r="N209">
        <v>2239</v>
      </c>
      <c r="O209">
        <v>11698</v>
      </c>
      <c r="P209">
        <v>13719</v>
      </c>
      <c r="Q209">
        <v>21281</v>
      </c>
      <c r="R209">
        <v>1585</v>
      </c>
      <c r="S209">
        <v>61</v>
      </c>
      <c r="T209">
        <v>1061</v>
      </c>
      <c r="U209">
        <v>40709</v>
      </c>
      <c r="V209">
        <v>4885</v>
      </c>
      <c r="W209">
        <v>929</v>
      </c>
      <c r="X209">
        <v>54</v>
      </c>
      <c r="Y209">
        <v>2004</v>
      </c>
      <c r="Z209">
        <v>39</v>
      </c>
      <c r="AA209">
        <v>2043</v>
      </c>
    </row>
    <row r="210" spans="1:27" x14ac:dyDescent="0.3">
      <c r="A210">
        <v>18</v>
      </c>
      <c r="B210" t="s">
        <v>63</v>
      </c>
      <c r="C210">
        <v>2026</v>
      </c>
      <c r="D210">
        <v>5</v>
      </c>
      <c r="E210" t="s">
        <v>31</v>
      </c>
      <c r="F210">
        <v>344318</v>
      </c>
      <c r="G210">
        <v>0.90269999999999995</v>
      </c>
      <c r="H210">
        <v>62.1</v>
      </c>
      <c r="I210">
        <v>0.91610000000000003</v>
      </c>
      <c r="J210">
        <v>1938595</v>
      </c>
      <c r="K210">
        <v>0.5202</v>
      </c>
      <c r="L210">
        <v>0.68369999999999997</v>
      </c>
      <c r="M210">
        <v>149</v>
      </c>
      <c r="N210">
        <v>8068</v>
      </c>
      <c r="O210">
        <v>8453</v>
      </c>
      <c r="P210">
        <v>9752</v>
      </c>
      <c r="Q210">
        <v>6561</v>
      </c>
      <c r="R210">
        <v>986</v>
      </c>
      <c r="S210">
        <v>81</v>
      </c>
      <c r="T210">
        <v>836</v>
      </c>
      <c r="U210">
        <v>5801</v>
      </c>
      <c r="V210">
        <v>4134</v>
      </c>
      <c r="W210">
        <v>610</v>
      </c>
      <c r="X210">
        <v>397</v>
      </c>
      <c r="Y210">
        <v>2038</v>
      </c>
      <c r="Z210">
        <v>75</v>
      </c>
      <c r="AA210">
        <v>2113</v>
      </c>
    </row>
    <row r="211" spans="1:27" x14ac:dyDescent="0.3">
      <c r="A211">
        <v>18</v>
      </c>
      <c r="B211" t="s">
        <v>63</v>
      </c>
      <c r="C211">
        <v>2026</v>
      </c>
      <c r="D211">
        <v>6</v>
      </c>
      <c r="E211" t="s">
        <v>32</v>
      </c>
      <c r="F211">
        <v>74037</v>
      </c>
      <c r="G211">
        <v>0.86309999999999998</v>
      </c>
      <c r="H211">
        <v>22.2</v>
      </c>
      <c r="I211">
        <v>0.96160000000000001</v>
      </c>
      <c r="J211">
        <v>321731</v>
      </c>
      <c r="K211">
        <v>0.61019999999999996</v>
      </c>
      <c r="L211">
        <v>0.97619999999999996</v>
      </c>
      <c r="M211">
        <v>50</v>
      </c>
      <c r="N211">
        <v>2583</v>
      </c>
      <c r="O211">
        <v>3082</v>
      </c>
      <c r="P211">
        <v>5688</v>
      </c>
      <c r="Q211">
        <v>4604</v>
      </c>
      <c r="R211">
        <v>899</v>
      </c>
      <c r="S211">
        <v>42</v>
      </c>
      <c r="T211">
        <v>876</v>
      </c>
      <c r="U211">
        <v>43158</v>
      </c>
      <c r="V211">
        <v>1897</v>
      </c>
      <c r="W211">
        <v>775</v>
      </c>
      <c r="X211">
        <v>352</v>
      </c>
      <c r="Y211">
        <v>856</v>
      </c>
      <c r="Z211">
        <v>68</v>
      </c>
      <c r="AA211">
        <v>924</v>
      </c>
    </row>
    <row r="212" spans="1:27" x14ac:dyDescent="0.3">
      <c r="A212">
        <v>18</v>
      </c>
      <c r="B212" t="s">
        <v>63</v>
      </c>
      <c r="C212">
        <v>2026</v>
      </c>
      <c r="D212">
        <v>7</v>
      </c>
      <c r="E212" t="s">
        <v>33</v>
      </c>
      <c r="F212">
        <v>127183</v>
      </c>
      <c r="G212">
        <v>0.98799999999999999</v>
      </c>
      <c r="H212">
        <v>76</v>
      </c>
      <c r="I212">
        <v>0.85599999999999998</v>
      </c>
      <c r="J212">
        <v>1515634</v>
      </c>
      <c r="K212">
        <v>0.2157</v>
      </c>
      <c r="L212">
        <v>0.53810000000000002</v>
      </c>
      <c r="M212">
        <v>58</v>
      </c>
      <c r="N212">
        <v>6715</v>
      </c>
      <c r="O212">
        <v>8132</v>
      </c>
      <c r="P212">
        <v>5520</v>
      </c>
      <c r="Q212">
        <v>26093</v>
      </c>
      <c r="R212">
        <v>1665</v>
      </c>
      <c r="S212">
        <v>90</v>
      </c>
      <c r="T212">
        <v>1467</v>
      </c>
      <c r="U212">
        <v>11541</v>
      </c>
      <c r="V212">
        <v>2933</v>
      </c>
      <c r="W212">
        <v>555</v>
      </c>
      <c r="X212">
        <v>343</v>
      </c>
      <c r="Y212">
        <v>1221</v>
      </c>
      <c r="Z212">
        <v>31</v>
      </c>
      <c r="AA212">
        <v>1252</v>
      </c>
    </row>
    <row r="213" spans="1:27" x14ac:dyDescent="0.3">
      <c r="A213">
        <v>18</v>
      </c>
      <c r="B213" t="s">
        <v>63</v>
      </c>
      <c r="C213">
        <v>2026</v>
      </c>
      <c r="D213">
        <v>8</v>
      </c>
      <c r="E213" t="s">
        <v>34</v>
      </c>
      <c r="F213">
        <v>529871</v>
      </c>
      <c r="G213">
        <v>0.85699999999999998</v>
      </c>
      <c r="H213">
        <v>34.6</v>
      </c>
      <c r="I213">
        <v>0.90739999999999998</v>
      </c>
      <c r="J213">
        <v>642449</v>
      </c>
      <c r="K213">
        <v>0.83760000000000001</v>
      </c>
      <c r="L213">
        <v>0.77070000000000005</v>
      </c>
      <c r="M213">
        <v>142</v>
      </c>
      <c r="N213">
        <v>9168</v>
      </c>
      <c r="O213">
        <v>6307</v>
      </c>
      <c r="P213">
        <v>17339</v>
      </c>
      <c r="Q213">
        <v>43789</v>
      </c>
      <c r="R213">
        <v>1596</v>
      </c>
      <c r="S213">
        <v>33</v>
      </c>
      <c r="T213">
        <v>299</v>
      </c>
      <c r="U213">
        <v>14694</v>
      </c>
      <c r="V213">
        <v>4732</v>
      </c>
      <c r="W213">
        <v>733</v>
      </c>
      <c r="X213">
        <v>47</v>
      </c>
      <c r="Y213">
        <v>882</v>
      </c>
      <c r="Z213">
        <v>51</v>
      </c>
      <c r="AA213">
        <v>933</v>
      </c>
    </row>
    <row r="214" spans="1:27" x14ac:dyDescent="0.3">
      <c r="A214">
        <v>18</v>
      </c>
      <c r="B214" t="s">
        <v>63</v>
      </c>
      <c r="C214">
        <v>2026</v>
      </c>
      <c r="D214">
        <v>9</v>
      </c>
      <c r="E214" t="s">
        <v>35</v>
      </c>
      <c r="F214">
        <v>833616</v>
      </c>
      <c r="G214">
        <v>0.93420000000000003</v>
      </c>
      <c r="H214">
        <v>56</v>
      </c>
      <c r="I214">
        <v>0.89910000000000001</v>
      </c>
      <c r="J214">
        <v>557990</v>
      </c>
      <c r="K214">
        <v>0.7369</v>
      </c>
      <c r="L214">
        <v>0.85719999999999996</v>
      </c>
      <c r="M214">
        <v>128</v>
      </c>
      <c r="N214">
        <v>7587</v>
      </c>
      <c r="O214">
        <v>8918</v>
      </c>
      <c r="P214">
        <v>10062</v>
      </c>
      <c r="Q214">
        <v>23898</v>
      </c>
      <c r="R214">
        <v>1142</v>
      </c>
      <c r="S214">
        <v>44</v>
      </c>
      <c r="T214">
        <v>742</v>
      </c>
      <c r="U214">
        <v>6601</v>
      </c>
      <c r="V214">
        <v>1500</v>
      </c>
      <c r="W214">
        <v>768</v>
      </c>
      <c r="X214">
        <v>471</v>
      </c>
      <c r="Y214">
        <v>2048</v>
      </c>
      <c r="Z214">
        <v>87</v>
      </c>
      <c r="AA214">
        <v>2135</v>
      </c>
    </row>
    <row r="215" spans="1:27" x14ac:dyDescent="0.3">
      <c r="A215">
        <v>18</v>
      </c>
      <c r="B215" t="s">
        <v>63</v>
      </c>
      <c r="C215">
        <v>2026</v>
      </c>
      <c r="D215">
        <v>10</v>
      </c>
      <c r="E215" t="s">
        <v>40</v>
      </c>
      <c r="F215">
        <v>1431269</v>
      </c>
      <c r="G215">
        <v>0.90859999999999996</v>
      </c>
      <c r="H215">
        <v>88.7</v>
      </c>
      <c r="I215">
        <v>0.92300000000000004</v>
      </c>
      <c r="J215">
        <v>1638718</v>
      </c>
      <c r="K215">
        <v>0.222</v>
      </c>
      <c r="L215">
        <v>0.95979999999999999</v>
      </c>
      <c r="M215">
        <v>114</v>
      </c>
      <c r="N215">
        <v>9752</v>
      </c>
      <c r="O215">
        <v>11096</v>
      </c>
      <c r="P215">
        <v>14301</v>
      </c>
      <c r="Q215">
        <v>47522</v>
      </c>
      <c r="R215">
        <v>1283</v>
      </c>
      <c r="S215">
        <v>100</v>
      </c>
      <c r="T215">
        <v>136</v>
      </c>
      <c r="U215">
        <v>29878</v>
      </c>
      <c r="V215">
        <v>1438</v>
      </c>
      <c r="W215">
        <v>900</v>
      </c>
      <c r="X215">
        <v>83</v>
      </c>
      <c r="Y215">
        <v>924</v>
      </c>
      <c r="Z215">
        <v>127</v>
      </c>
      <c r="AA215">
        <v>1051</v>
      </c>
    </row>
    <row r="216" spans="1:27" x14ac:dyDescent="0.3">
      <c r="A216">
        <v>18</v>
      </c>
      <c r="B216" t="s">
        <v>63</v>
      </c>
      <c r="C216">
        <v>2026</v>
      </c>
      <c r="D216">
        <v>11</v>
      </c>
      <c r="E216" t="s">
        <v>41</v>
      </c>
      <c r="F216">
        <v>1274703</v>
      </c>
      <c r="G216">
        <v>0.88300000000000001</v>
      </c>
      <c r="H216">
        <v>10</v>
      </c>
      <c r="I216">
        <v>0.96309999999999996</v>
      </c>
      <c r="J216">
        <v>1037929</v>
      </c>
      <c r="K216">
        <v>0.30549999999999999</v>
      </c>
      <c r="L216">
        <v>0.57679999999999998</v>
      </c>
      <c r="M216">
        <v>130</v>
      </c>
      <c r="N216">
        <v>2498</v>
      </c>
      <c r="O216">
        <v>14667</v>
      </c>
      <c r="P216">
        <v>5719</v>
      </c>
      <c r="Q216">
        <v>18034</v>
      </c>
      <c r="R216">
        <v>1481</v>
      </c>
      <c r="S216">
        <v>66</v>
      </c>
      <c r="T216">
        <v>1204</v>
      </c>
      <c r="U216">
        <v>41300</v>
      </c>
      <c r="V216">
        <v>4091</v>
      </c>
      <c r="W216">
        <v>576</v>
      </c>
      <c r="X216">
        <v>267</v>
      </c>
      <c r="Y216">
        <v>2196</v>
      </c>
      <c r="Z216">
        <v>95</v>
      </c>
      <c r="AA216">
        <v>2291</v>
      </c>
    </row>
    <row r="217" spans="1:27" x14ac:dyDescent="0.3">
      <c r="A217">
        <v>18</v>
      </c>
      <c r="B217" t="s">
        <v>63</v>
      </c>
      <c r="C217">
        <v>2026</v>
      </c>
      <c r="D217">
        <v>12</v>
      </c>
      <c r="E217" t="s">
        <v>42</v>
      </c>
      <c r="F217">
        <v>41065</v>
      </c>
      <c r="G217">
        <v>0.98929999999999996</v>
      </c>
      <c r="H217">
        <v>43.1</v>
      </c>
      <c r="I217">
        <v>0.96260000000000001</v>
      </c>
      <c r="J217">
        <v>589011</v>
      </c>
      <c r="K217">
        <v>0.71909999999999996</v>
      </c>
      <c r="L217">
        <v>0.67100000000000004</v>
      </c>
      <c r="M217">
        <v>170</v>
      </c>
      <c r="N217">
        <v>2707</v>
      </c>
      <c r="O217">
        <v>3449</v>
      </c>
      <c r="P217">
        <v>18667</v>
      </c>
      <c r="Q217">
        <v>42417</v>
      </c>
      <c r="R217">
        <v>237</v>
      </c>
      <c r="S217">
        <v>41</v>
      </c>
      <c r="T217">
        <v>304</v>
      </c>
      <c r="U217">
        <v>2191</v>
      </c>
      <c r="V217">
        <v>3124</v>
      </c>
      <c r="W217">
        <v>696</v>
      </c>
      <c r="X217">
        <v>17</v>
      </c>
      <c r="Y217">
        <v>1022</v>
      </c>
      <c r="Z217">
        <v>162</v>
      </c>
      <c r="AA217">
        <v>1184</v>
      </c>
    </row>
    <row r="218" spans="1:27" x14ac:dyDescent="0.3">
      <c r="A218">
        <v>19</v>
      </c>
      <c r="B218" t="s">
        <v>64</v>
      </c>
      <c r="C218">
        <v>2026</v>
      </c>
      <c r="D218">
        <v>1</v>
      </c>
      <c r="E218" t="s">
        <v>27</v>
      </c>
      <c r="F218">
        <v>877619</v>
      </c>
      <c r="G218">
        <v>0.96860000000000002</v>
      </c>
      <c r="H218">
        <v>97.7</v>
      </c>
      <c r="I218">
        <v>0.85460000000000003</v>
      </c>
      <c r="J218">
        <v>517148</v>
      </c>
      <c r="K218">
        <v>0.90339999999999998</v>
      </c>
      <c r="L218">
        <v>0.8972</v>
      </c>
      <c r="M218">
        <v>52</v>
      </c>
      <c r="N218">
        <v>3157</v>
      </c>
      <c r="O218">
        <v>8180</v>
      </c>
      <c r="P218">
        <v>2768</v>
      </c>
      <c r="Q218">
        <v>16490</v>
      </c>
      <c r="R218">
        <v>455</v>
      </c>
      <c r="S218">
        <v>35</v>
      </c>
      <c r="T218">
        <v>830</v>
      </c>
      <c r="U218">
        <v>9103</v>
      </c>
      <c r="V218">
        <v>2193</v>
      </c>
      <c r="W218">
        <v>620</v>
      </c>
      <c r="X218">
        <v>425</v>
      </c>
      <c r="Y218">
        <v>2070</v>
      </c>
      <c r="Z218">
        <v>164</v>
      </c>
      <c r="AA218">
        <v>2234</v>
      </c>
    </row>
    <row r="219" spans="1:27" x14ac:dyDescent="0.3">
      <c r="A219">
        <v>19</v>
      </c>
      <c r="B219" t="s">
        <v>64</v>
      </c>
      <c r="C219">
        <v>2026</v>
      </c>
      <c r="D219">
        <v>2</v>
      </c>
      <c r="E219" t="s">
        <v>28</v>
      </c>
      <c r="F219">
        <v>1477046</v>
      </c>
      <c r="G219">
        <v>0.93410000000000004</v>
      </c>
      <c r="H219">
        <v>15.2</v>
      </c>
      <c r="I219">
        <v>0.87260000000000004</v>
      </c>
      <c r="J219">
        <v>253984</v>
      </c>
      <c r="K219">
        <v>0.52729999999999999</v>
      </c>
      <c r="L219">
        <v>0.84840000000000004</v>
      </c>
      <c r="M219">
        <v>182</v>
      </c>
      <c r="N219">
        <v>9425</v>
      </c>
      <c r="O219">
        <v>12062</v>
      </c>
      <c r="P219">
        <v>18604</v>
      </c>
      <c r="Q219">
        <v>2705</v>
      </c>
      <c r="R219">
        <v>1978</v>
      </c>
      <c r="S219">
        <v>80</v>
      </c>
      <c r="T219">
        <v>309</v>
      </c>
      <c r="U219">
        <v>7044</v>
      </c>
      <c r="V219">
        <v>4739</v>
      </c>
      <c r="W219">
        <v>285</v>
      </c>
      <c r="X219">
        <v>409</v>
      </c>
      <c r="Y219">
        <v>1481</v>
      </c>
      <c r="Z219">
        <v>26</v>
      </c>
      <c r="AA219">
        <v>1507</v>
      </c>
    </row>
    <row r="220" spans="1:27" x14ac:dyDescent="0.3">
      <c r="A220">
        <v>19</v>
      </c>
      <c r="B220" t="s">
        <v>64</v>
      </c>
      <c r="C220">
        <v>2026</v>
      </c>
      <c r="D220">
        <v>3</v>
      </c>
      <c r="E220" t="s">
        <v>29</v>
      </c>
      <c r="F220">
        <v>683901</v>
      </c>
      <c r="G220">
        <v>0.93200000000000005</v>
      </c>
      <c r="H220">
        <v>94.1</v>
      </c>
      <c r="I220">
        <v>0.90490000000000004</v>
      </c>
      <c r="J220">
        <v>1880361</v>
      </c>
      <c r="K220">
        <v>0.50639999999999996</v>
      </c>
      <c r="L220">
        <v>0.6996</v>
      </c>
      <c r="M220">
        <v>102</v>
      </c>
      <c r="N220">
        <v>7561</v>
      </c>
      <c r="O220">
        <v>799</v>
      </c>
      <c r="P220">
        <v>8316</v>
      </c>
      <c r="Q220">
        <v>35101</v>
      </c>
      <c r="R220">
        <v>1580</v>
      </c>
      <c r="S220">
        <v>54</v>
      </c>
      <c r="T220">
        <v>455</v>
      </c>
      <c r="U220">
        <v>7843</v>
      </c>
      <c r="V220">
        <v>2835</v>
      </c>
      <c r="W220">
        <v>496</v>
      </c>
      <c r="X220">
        <v>287</v>
      </c>
      <c r="Y220">
        <v>2208</v>
      </c>
      <c r="Z220">
        <v>149</v>
      </c>
      <c r="AA220">
        <v>2357</v>
      </c>
    </row>
    <row r="221" spans="1:27" x14ac:dyDescent="0.3">
      <c r="A221">
        <v>19</v>
      </c>
      <c r="B221" t="s">
        <v>64</v>
      </c>
      <c r="C221">
        <v>2026</v>
      </c>
      <c r="D221">
        <v>4</v>
      </c>
      <c r="E221" t="s">
        <v>30</v>
      </c>
      <c r="F221">
        <v>531586</v>
      </c>
      <c r="G221">
        <v>0.91839999999999999</v>
      </c>
      <c r="H221">
        <v>73.5</v>
      </c>
      <c r="I221">
        <v>0.89439999999999997</v>
      </c>
      <c r="J221">
        <v>440074</v>
      </c>
      <c r="K221">
        <v>0.4244</v>
      </c>
      <c r="L221">
        <v>0.96499999999999997</v>
      </c>
      <c r="M221">
        <v>56</v>
      </c>
      <c r="N221">
        <v>4519</v>
      </c>
      <c r="O221">
        <v>9321</v>
      </c>
      <c r="P221">
        <v>14644</v>
      </c>
      <c r="Q221">
        <v>4498</v>
      </c>
      <c r="R221">
        <v>532</v>
      </c>
      <c r="S221">
        <v>44</v>
      </c>
      <c r="T221">
        <v>427</v>
      </c>
      <c r="U221">
        <v>14182</v>
      </c>
      <c r="V221">
        <v>3721</v>
      </c>
      <c r="W221">
        <v>528</v>
      </c>
      <c r="X221">
        <v>279</v>
      </c>
      <c r="Y221">
        <v>878</v>
      </c>
      <c r="Z221">
        <v>82</v>
      </c>
      <c r="AA221">
        <v>960</v>
      </c>
    </row>
    <row r="222" spans="1:27" x14ac:dyDescent="0.3">
      <c r="A222">
        <v>19</v>
      </c>
      <c r="B222" t="s">
        <v>64</v>
      </c>
      <c r="C222">
        <v>2026</v>
      </c>
      <c r="D222">
        <v>5</v>
      </c>
      <c r="E222" t="s">
        <v>31</v>
      </c>
      <c r="F222">
        <v>1222979</v>
      </c>
      <c r="G222">
        <v>0.86240000000000006</v>
      </c>
      <c r="H222">
        <v>46.9</v>
      </c>
      <c r="I222">
        <v>0.98450000000000004</v>
      </c>
      <c r="J222">
        <v>1346281</v>
      </c>
      <c r="K222">
        <v>0.68910000000000005</v>
      </c>
      <c r="L222">
        <v>0.55810000000000004</v>
      </c>
      <c r="M222">
        <v>92</v>
      </c>
      <c r="N222">
        <v>6484</v>
      </c>
      <c r="O222">
        <v>14076</v>
      </c>
      <c r="P222">
        <v>6584</v>
      </c>
      <c r="Q222">
        <v>3778</v>
      </c>
      <c r="R222">
        <v>1366</v>
      </c>
      <c r="S222">
        <v>47</v>
      </c>
      <c r="T222">
        <v>140</v>
      </c>
      <c r="U222">
        <v>10108</v>
      </c>
      <c r="V222">
        <v>772</v>
      </c>
      <c r="W222">
        <v>373</v>
      </c>
      <c r="X222">
        <v>56</v>
      </c>
      <c r="Y222">
        <v>1144</v>
      </c>
      <c r="Z222">
        <v>95</v>
      </c>
      <c r="AA222">
        <v>1239</v>
      </c>
    </row>
    <row r="223" spans="1:27" x14ac:dyDescent="0.3">
      <c r="A223">
        <v>19</v>
      </c>
      <c r="B223" t="s">
        <v>64</v>
      </c>
      <c r="C223">
        <v>2026</v>
      </c>
      <c r="D223">
        <v>6</v>
      </c>
      <c r="E223" t="s">
        <v>32</v>
      </c>
      <c r="F223">
        <v>132539</v>
      </c>
      <c r="G223">
        <v>0.97040000000000004</v>
      </c>
      <c r="H223">
        <v>55.5</v>
      </c>
      <c r="I223">
        <v>0.97230000000000005</v>
      </c>
      <c r="J223">
        <v>325477</v>
      </c>
      <c r="K223">
        <v>0.79139999999999999</v>
      </c>
      <c r="L223">
        <v>0.84550000000000003</v>
      </c>
      <c r="M223">
        <v>48</v>
      </c>
      <c r="N223">
        <v>8429</v>
      </c>
      <c r="O223">
        <v>8671</v>
      </c>
      <c r="P223">
        <v>7186</v>
      </c>
      <c r="Q223">
        <v>24027</v>
      </c>
      <c r="R223">
        <v>323</v>
      </c>
      <c r="S223">
        <v>61</v>
      </c>
      <c r="T223">
        <v>1264</v>
      </c>
      <c r="U223">
        <v>27775</v>
      </c>
      <c r="V223">
        <v>4024</v>
      </c>
      <c r="W223">
        <v>836</v>
      </c>
      <c r="X223">
        <v>412</v>
      </c>
      <c r="Y223">
        <v>967</v>
      </c>
      <c r="Z223">
        <v>195</v>
      </c>
      <c r="AA223">
        <v>1162</v>
      </c>
    </row>
    <row r="224" spans="1:27" x14ac:dyDescent="0.3">
      <c r="A224">
        <v>19</v>
      </c>
      <c r="B224" t="s">
        <v>64</v>
      </c>
      <c r="C224">
        <v>2026</v>
      </c>
      <c r="D224">
        <v>7</v>
      </c>
      <c r="E224" t="s">
        <v>33</v>
      </c>
      <c r="F224">
        <v>885852</v>
      </c>
      <c r="G224">
        <v>0.88190000000000002</v>
      </c>
      <c r="H224">
        <v>44.9</v>
      </c>
      <c r="I224">
        <v>0.85399999999999998</v>
      </c>
      <c r="J224">
        <v>1480883</v>
      </c>
      <c r="K224">
        <v>0.39429999999999998</v>
      </c>
      <c r="L224">
        <v>0.55230000000000001</v>
      </c>
      <c r="M224">
        <v>119</v>
      </c>
      <c r="N224">
        <v>8825</v>
      </c>
      <c r="O224">
        <v>10480</v>
      </c>
      <c r="P224">
        <v>19907</v>
      </c>
      <c r="Q224">
        <v>23855</v>
      </c>
      <c r="R224">
        <v>965</v>
      </c>
      <c r="S224">
        <v>70</v>
      </c>
      <c r="T224">
        <v>503</v>
      </c>
      <c r="U224">
        <v>1890</v>
      </c>
      <c r="V224">
        <v>3280</v>
      </c>
      <c r="W224">
        <v>928</v>
      </c>
      <c r="X224">
        <v>59</v>
      </c>
      <c r="Y224">
        <v>1828</v>
      </c>
      <c r="Z224">
        <v>122</v>
      </c>
      <c r="AA224">
        <v>1950</v>
      </c>
    </row>
    <row r="225" spans="1:27" x14ac:dyDescent="0.3">
      <c r="A225">
        <v>19</v>
      </c>
      <c r="B225" t="s">
        <v>64</v>
      </c>
      <c r="C225">
        <v>2026</v>
      </c>
      <c r="D225">
        <v>8</v>
      </c>
      <c r="E225" t="s">
        <v>34</v>
      </c>
      <c r="F225">
        <v>705198</v>
      </c>
      <c r="G225">
        <v>0.93079999999999996</v>
      </c>
      <c r="H225">
        <v>66.599999999999994</v>
      </c>
      <c r="I225">
        <v>0.95240000000000002</v>
      </c>
      <c r="J225">
        <v>183423</v>
      </c>
      <c r="K225">
        <v>0.34499999999999997</v>
      </c>
      <c r="L225">
        <v>0.80279999999999996</v>
      </c>
      <c r="M225">
        <v>89</v>
      </c>
      <c r="N225">
        <v>4461</v>
      </c>
      <c r="O225">
        <v>13600</v>
      </c>
      <c r="P225">
        <v>12605</v>
      </c>
      <c r="Q225">
        <v>9033</v>
      </c>
      <c r="R225">
        <v>500</v>
      </c>
      <c r="S225">
        <v>73</v>
      </c>
      <c r="T225">
        <v>763</v>
      </c>
      <c r="U225">
        <v>26366</v>
      </c>
      <c r="V225">
        <v>3573</v>
      </c>
      <c r="W225">
        <v>955</v>
      </c>
      <c r="X225">
        <v>475</v>
      </c>
      <c r="Y225">
        <v>2056</v>
      </c>
      <c r="Z225">
        <v>16</v>
      </c>
      <c r="AA225">
        <v>2072</v>
      </c>
    </row>
    <row r="226" spans="1:27" x14ac:dyDescent="0.3">
      <c r="A226">
        <v>19</v>
      </c>
      <c r="B226" t="s">
        <v>64</v>
      </c>
      <c r="C226">
        <v>2026</v>
      </c>
      <c r="D226">
        <v>9</v>
      </c>
      <c r="E226" t="s">
        <v>35</v>
      </c>
      <c r="F226">
        <v>1300495</v>
      </c>
      <c r="G226">
        <v>0.89090000000000003</v>
      </c>
      <c r="H226">
        <v>46</v>
      </c>
      <c r="I226">
        <v>0.91790000000000005</v>
      </c>
      <c r="J226">
        <v>1365004</v>
      </c>
      <c r="K226">
        <v>0.95920000000000005</v>
      </c>
      <c r="L226">
        <v>0.78749999999999998</v>
      </c>
      <c r="M226">
        <v>52</v>
      </c>
      <c r="N226">
        <v>7769</v>
      </c>
      <c r="O226">
        <v>3092</v>
      </c>
      <c r="P226">
        <v>16650</v>
      </c>
      <c r="Q226">
        <v>8659</v>
      </c>
      <c r="R226">
        <v>1783</v>
      </c>
      <c r="S226">
        <v>31</v>
      </c>
      <c r="T226">
        <v>136</v>
      </c>
      <c r="U226">
        <v>31704</v>
      </c>
      <c r="V226">
        <v>3614</v>
      </c>
      <c r="W226">
        <v>877</v>
      </c>
      <c r="X226">
        <v>175</v>
      </c>
      <c r="Y226">
        <v>1922</v>
      </c>
      <c r="Z226">
        <v>163</v>
      </c>
      <c r="AA226">
        <v>2085</v>
      </c>
    </row>
    <row r="227" spans="1:27" x14ac:dyDescent="0.3">
      <c r="A227">
        <v>19</v>
      </c>
      <c r="B227" t="s">
        <v>64</v>
      </c>
      <c r="C227">
        <v>2026</v>
      </c>
      <c r="D227">
        <v>10</v>
      </c>
      <c r="E227" t="s">
        <v>40</v>
      </c>
      <c r="F227">
        <v>387855</v>
      </c>
      <c r="G227">
        <v>0.93200000000000005</v>
      </c>
      <c r="H227">
        <v>55.4</v>
      </c>
      <c r="I227">
        <v>0.91910000000000003</v>
      </c>
      <c r="J227">
        <v>332751</v>
      </c>
      <c r="K227">
        <v>0.81640000000000001</v>
      </c>
      <c r="L227">
        <v>0.55369999999999997</v>
      </c>
      <c r="M227">
        <v>142</v>
      </c>
      <c r="N227">
        <v>8373</v>
      </c>
      <c r="O227">
        <v>12929</v>
      </c>
      <c r="P227">
        <v>4330</v>
      </c>
      <c r="Q227">
        <v>40843</v>
      </c>
      <c r="R227">
        <v>846</v>
      </c>
      <c r="S227">
        <v>76</v>
      </c>
      <c r="T227">
        <v>260</v>
      </c>
      <c r="U227">
        <v>30899</v>
      </c>
      <c r="V227">
        <v>2264</v>
      </c>
      <c r="W227">
        <v>290</v>
      </c>
      <c r="X227">
        <v>230</v>
      </c>
      <c r="Y227">
        <v>1107</v>
      </c>
      <c r="Z227">
        <v>87</v>
      </c>
      <c r="AA227">
        <v>1194</v>
      </c>
    </row>
    <row r="228" spans="1:27" x14ac:dyDescent="0.3">
      <c r="A228">
        <v>19</v>
      </c>
      <c r="B228" t="s">
        <v>64</v>
      </c>
      <c r="C228">
        <v>2026</v>
      </c>
      <c r="D228">
        <v>11</v>
      </c>
      <c r="E228" t="s">
        <v>41</v>
      </c>
      <c r="F228">
        <v>92649</v>
      </c>
      <c r="G228">
        <v>0.86860000000000004</v>
      </c>
      <c r="H228">
        <v>57.1</v>
      </c>
      <c r="I228">
        <v>0.96009999999999995</v>
      </c>
      <c r="J228">
        <v>1342224</v>
      </c>
      <c r="K228">
        <v>0.82579999999999998</v>
      </c>
      <c r="L228">
        <v>0.66790000000000005</v>
      </c>
      <c r="M228">
        <v>26</v>
      </c>
      <c r="N228">
        <v>9165</v>
      </c>
      <c r="O228">
        <v>3225</v>
      </c>
      <c r="P228">
        <v>9723</v>
      </c>
      <c r="Q228">
        <v>6056</v>
      </c>
      <c r="R228">
        <v>399</v>
      </c>
      <c r="S228">
        <v>31</v>
      </c>
      <c r="T228">
        <v>1281</v>
      </c>
      <c r="U228">
        <v>21599</v>
      </c>
      <c r="V228">
        <v>1101</v>
      </c>
      <c r="W228">
        <v>658</v>
      </c>
      <c r="X228">
        <v>215</v>
      </c>
      <c r="Y228">
        <v>1296</v>
      </c>
      <c r="Z228">
        <v>80</v>
      </c>
      <c r="AA228">
        <v>1376</v>
      </c>
    </row>
    <row r="229" spans="1:27" x14ac:dyDescent="0.3">
      <c r="A229">
        <v>19</v>
      </c>
      <c r="B229" t="s">
        <v>64</v>
      </c>
      <c r="C229">
        <v>2026</v>
      </c>
      <c r="D229">
        <v>12</v>
      </c>
      <c r="E229" t="s">
        <v>42</v>
      </c>
      <c r="F229">
        <v>137106</v>
      </c>
      <c r="G229">
        <v>0.88339999999999996</v>
      </c>
      <c r="H229">
        <v>55.3</v>
      </c>
      <c r="I229">
        <v>0.96460000000000001</v>
      </c>
      <c r="J229">
        <v>1158548</v>
      </c>
      <c r="K229">
        <v>0.94330000000000003</v>
      </c>
      <c r="L229">
        <v>0.56430000000000002</v>
      </c>
      <c r="M229">
        <v>30</v>
      </c>
      <c r="N229">
        <v>5572</v>
      </c>
      <c r="O229">
        <v>10281</v>
      </c>
      <c r="P229">
        <v>1333</v>
      </c>
      <c r="Q229">
        <v>23473</v>
      </c>
      <c r="R229">
        <v>1386</v>
      </c>
      <c r="S229">
        <v>68</v>
      </c>
      <c r="T229">
        <v>566</v>
      </c>
      <c r="U229">
        <v>18554</v>
      </c>
      <c r="V229">
        <v>1208</v>
      </c>
      <c r="W229">
        <v>518</v>
      </c>
      <c r="X229">
        <v>385</v>
      </c>
      <c r="Y229">
        <v>585</v>
      </c>
      <c r="Z229">
        <v>196</v>
      </c>
      <c r="AA229">
        <v>781</v>
      </c>
    </row>
    <row r="230" spans="1:27" x14ac:dyDescent="0.3">
      <c r="A230">
        <v>20</v>
      </c>
      <c r="B230" t="s">
        <v>65</v>
      </c>
      <c r="C230">
        <v>2026</v>
      </c>
      <c r="D230">
        <v>1</v>
      </c>
      <c r="E230" t="s">
        <v>27</v>
      </c>
      <c r="F230">
        <v>1120981</v>
      </c>
      <c r="G230">
        <v>0.91300000000000003</v>
      </c>
      <c r="H230">
        <v>54.8</v>
      </c>
      <c r="I230">
        <v>0.85550000000000004</v>
      </c>
      <c r="J230">
        <v>814092</v>
      </c>
      <c r="K230">
        <v>0.28299999999999997</v>
      </c>
      <c r="L230">
        <v>0.50060000000000004</v>
      </c>
      <c r="M230">
        <v>163</v>
      </c>
      <c r="N230">
        <v>8768</v>
      </c>
      <c r="O230">
        <v>11163</v>
      </c>
      <c r="P230">
        <v>16595</v>
      </c>
      <c r="Q230">
        <v>20311</v>
      </c>
      <c r="R230">
        <v>445</v>
      </c>
      <c r="S230">
        <v>57</v>
      </c>
      <c r="T230">
        <v>517</v>
      </c>
      <c r="U230">
        <v>36101</v>
      </c>
      <c r="V230">
        <v>2625</v>
      </c>
      <c r="W230">
        <v>209</v>
      </c>
      <c r="X230">
        <v>134</v>
      </c>
      <c r="Y230">
        <v>2535</v>
      </c>
      <c r="Z230">
        <v>32</v>
      </c>
      <c r="AA230">
        <v>2567</v>
      </c>
    </row>
    <row r="231" spans="1:27" x14ac:dyDescent="0.3">
      <c r="A231">
        <v>20</v>
      </c>
      <c r="B231" t="s">
        <v>65</v>
      </c>
      <c r="C231">
        <v>2026</v>
      </c>
      <c r="D231">
        <v>2</v>
      </c>
      <c r="E231" t="s">
        <v>28</v>
      </c>
      <c r="F231">
        <v>303209</v>
      </c>
      <c r="G231">
        <v>0.96650000000000003</v>
      </c>
      <c r="H231">
        <v>85.3</v>
      </c>
      <c r="I231">
        <v>0.85499999999999998</v>
      </c>
      <c r="J231">
        <v>27312</v>
      </c>
      <c r="K231">
        <v>0.93320000000000003</v>
      </c>
      <c r="L231">
        <v>0.67700000000000005</v>
      </c>
      <c r="M231">
        <v>182</v>
      </c>
      <c r="N231">
        <v>6028</v>
      </c>
      <c r="O231">
        <v>2760</v>
      </c>
      <c r="P231">
        <v>16308</v>
      </c>
      <c r="Q231">
        <v>44541</v>
      </c>
      <c r="R231">
        <v>1688</v>
      </c>
      <c r="S231">
        <v>10</v>
      </c>
      <c r="T231">
        <v>1368</v>
      </c>
      <c r="U231">
        <v>2265</v>
      </c>
      <c r="V231">
        <v>3969</v>
      </c>
      <c r="W231">
        <v>378</v>
      </c>
      <c r="X231">
        <v>61</v>
      </c>
      <c r="Y231">
        <v>2187</v>
      </c>
      <c r="Z231">
        <v>73</v>
      </c>
      <c r="AA231">
        <v>2260</v>
      </c>
    </row>
    <row r="232" spans="1:27" x14ac:dyDescent="0.3">
      <c r="A232">
        <v>20</v>
      </c>
      <c r="B232" t="s">
        <v>65</v>
      </c>
      <c r="C232">
        <v>2026</v>
      </c>
      <c r="D232">
        <v>3</v>
      </c>
      <c r="E232" t="s">
        <v>29</v>
      </c>
      <c r="F232">
        <v>1142007</v>
      </c>
      <c r="G232">
        <v>0.89970000000000006</v>
      </c>
      <c r="H232">
        <v>66.5</v>
      </c>
      <c r="I232">
        <v>0.85350000000000004</v>
      </c>
      <c r="J232">
        <v>1465521</v>
      </c>
      <c r="K232">
        <v>0.80100000000000005</v>
      </c>
      <c r="L232">
        <v>0.624</v>
      </c>
      <c r="M232">
        <v>112</v>
      </c>
      <c r="N232">
        <v>9956</v>
      </c>
      <c r="O232">
        <v>2117</v>
      </c>
      <c r="P232">
        <v>18582</v>
      </c>
      <c r="Q232">
        <v>39249</v>
      </c>
      <c r="R232">
        <v>1316</v>
      </c>
      <c r="S232">
        <v>26</v>
      </c>
      <c r="T232">
        <v>306</v>
      </c>
      <c r="U232">
        <v>5182</v>
      </c>
      <c r="V232">
        <v>2394</v>
      </c>
      <c r="W232">
        <v>270</v>
      </c>
      <c r="X232">
        <v>68</v>
      </c>
      <c r="Y232">
        <v>2375</v>
      </c>
      <c r="Z232">
        <v>153</v>
      </c>
      <c r="AA232">
        <v>2528</v>
      </c>
    </row>
    <row r="233" spans="1:27" x14ac:dyDescent="0.3">
      <c r="A233">
        <v>20</v>
      </c>
      <c r="B233" t="s">
        <v>65</v>
      </c>
      <c r="C233">
        <v>2026</v>
      </c>
      <c r="D233">
        <v>4</v>
      </c>
      <c r="E233" t="s">
        <v>30</v>
      </c>
      <c r="F233">
        <v>128941</v>
      </c>
      <c r="G233">
        <v>0.85289999999999999</v>
      </c>
      <c r="H233">
        <v>68.8</v>
      </c>
      <c r="I233">
        <v>0.92230000000000001</v>
      </c>
      <c r="J233">
        <v>937172</v>
      </c>
      <c r="K233">
        <v>0.51180000000000003</v>
      </c>
      <c r="L233">
        <v>0.86539999999999995</v>
      </c>
      <c r="M233">
        <v>172</v>
      </c>
      <c r="N233">
        <v>4177</v>
      </c>
      <c r="O233">
        <v>10275</v>
      </c>
      <c r="P233">
        <v>7715</v>
      </c>
      <c r="Q233">
        <v>1722</v>
      </c>
      <c r="R233">
        <v>1331</v>
      </c>
      <c r="S233">
        <v>33</v>
      </c>
      <c r="T233">
        <v>1069</v>
      </c>
      <c r="U233">
        <v>37829</v>
      </c>
      <c r="V233">
        <v>2626</v>
      </c>
      <c r="W233">
        <v>452</v>
      </c>
      <c r="X233">
        <v>482</v>
      </c>
      <c r="Y233">
        <v>2297</v>
      </c>
      <c r="Z233">
        <v>18</v>
      </c>
      <c r="AA233">
        <v>2315</v>
      </c>
    </row>
    <row r="234" spans="1:27" x14ac:dyDescent="0.3">
      <c r="A234">
        <v>20</v>
      </c>
      <c r="B234" t="s">
        <v>65</v>
      </c>
      <c r="C234">
        <v>2026</v>
      </c>
      <c r="D234">
        <v>5</v>
      </c>
      <c r="E234" t="s">
        <v>31</v>
      </c>
      <c r="F234">
        <v>1297692</v>
      </c>
      <c r="G234">
        <v>0.88260000000000005</v>
      </c>
      <c r="H234">
        <v>99.2</v>
      </c>
      <c r="I234">
        <v>0.93479999999999996</v>
      </c>
      <c r="J234">
        <v>1479921</v>
      </c>
      <c r="K234">
        <v>0.42099999999999999</v>
      </c>
      <c r="L234">
        <v>0.51890000000000003</v>
      </c>
      <c r="M234">
        <v>167</v>
      </c>
      <c r="N234">
        <v>7148</v>
      </c>
      <c r="O234">
        <v>4635</v>
      </c>
      <c r="P234">
        <v>10695</v>
      </c>
      <c r="Q234">
        <v>48265</v>
      </c>
      <c r="R234">
        <v>1564</v>
      </c>
      <c r="S234">
        <v>43</v>
      </c>
      <c r="T234">
        <v>1188</v>
      </c>
      <c r="U234">
        <v>12204</v>
      </c>
      <c r="V234">
        <v>1968</v>
      </c>
      <c r="W234">
        <v>834</v>
      </c>
      <c r="X234">
        <v>226</v>
      </c>
      <c r="Y234">
        <v>1675</v>
      </c>
      <c r="Z234">
        <v>138</v>
      </c>
      <c r="AA234">
        <v>1813</v>
      </c>
    </row>
    <row r="235" spans="1:27" x14ac:dyDescent="0.3">
      <c r="A235">
        <v>20</v>
      </c>
      <c r="B235" t="s">
        <v>65</v>
      </c>
      <c r="C235">
        <v>2026</v>
      </c>
      <c r="D235">
        <v>6</v>
      </c>
      <c r="E235" t="s">
        <v>32</v>
      </c>
      <c r="F235">
        <v>957643</v>
      </c>
      <c r="G235">
        <v>0.98219999999999996</v>
      </c>
      <c r="H235">
        <v>65</v>
      </c>
      <c r="I235">
        <v>0.94689999999999996</v>
      </c>
      <c r="J235">
        <v>898731</v>
      </c>
      <c r="K235">
        <v>0.2452</v>
      </c>
      <c r="L235">
        <v>0.57069999999999999</v>
      </c>
      <c r="M235">
        <v>82</v>
      </c>
      <c r="N235">
        <v>6895</v>
      </c>
      <c r="O235">
        <v>11183</v>
      </c>
      <c r="P235">
        <v>15293</v>
      </c>
      <c r="Q235">
        <v>13717</v>
      </c>
      <c r="R235">
        <v>1508</v>
      </c>
      <c r="S235">
        <v>47</v>
      </c>
      <c r="T235">
        <v>463</v>
      </c>
      <c r="U235">
        <v>32056</v>
      </c>
      <c r="V235">
        <v>1694</v>
      </c>
      <c r="W235">
        <v>453</v>
      </c>
      <c r="X235">
        <v>410</v>
      </c>
      <c r="Y235">
        <v>2065</v>
      </c>
      <c r="Z235">
        <v>51</v>
      </c>
      <c r="AA235">
        <v>2116</v>
      </c>
    </row>
    <row r="236" spans="1:27" x14ac:dyDescent="0.3">
      <c r="A236">
        <v>20</v>
      </c>
      <c r="B236" t="s">
        <v>65</v>
      </c>
      <c r="C236">
        <v>2026</v>
      </c>
      <c r="D236">
        <v>7</v>
      </c>
      <c r="E236" t="s">
        <v>33</v>
      </c>
      <c r="F236">
        <v>126196</v>
      </c>
      <c r="G236">
        <v>0.89510000000000001</v>
      </c>
      <c r="H236">
        <v>71.7</v>
      </c>
      <c r="I236">
        <v>0.91849999999999998</v>
      </c>
      <c r="J236">
        <v>828008</v>
      </c>
      <c r="K236">
        <v>0.91520000000000001</v>
      </c>
      <c r="L236">
        <v>0.52829999999999999</v>
      </c>
      <c r="M236">
        <v>177</v>
      </c>
      <c r="N236">
        <v>1355</v>
      </c>
      <c r="O236">
        <v>6442</v>
      </c>
      <c r="P236">
        <v>10705</v>
      </c>
      <c r="Q236">
        <v>23202</v>
      </c>
      <c r="R236">
        <v>1462</v>
      </c>
      <c r="S236">
        <v>98</v>
      </c>
      <c r="T236">
        <v>1311</v>
      </c>
      <c r="U236">
        <v>40059</v>
      </c>
      <c r="V236">
        <v>1728</v>
      </c>
      <c r="W236">
        <v>458</v>
      </c>
      <c r="X236">
        <v>304</v>
      </c>
      <c r="Y236">
        <v>904</v>
      </c>
      <c r="Z236">
        <v>119</v>
      </c>
      <c r="AA236">
        <v>1023</v>
      </c>
    </row>
    <row r="237" spans="1:27" x14ac:dyDescent="0.3">
      <c r="A237">
        <v>20</v>
      </c>
      <c r="B237" t="s">
        <v>65</v>
      </c>
      <c r="C237">
        <v>2026</v>
      </c>
      <c r="D237">
        <v>8</v>
      </c>
      <c r="E237" t="s">
        <v>34</v>
      </c>
      <c r="F237">
        <v>110997</v>
      </c>
      <c r="G237">
        <v>0.93469999999999998</v>
      </c>
      <c r="H237">
        <v>55.7</v>
      </c>
      <c r="I237">
        <v>0.93220000000000003</v>
      </c>
      <c r="J237">
        <v>1788740</v>
      </c>
      <c r="K237">
        <v>0.56320000000000003</v>
      </c>
      <c r="L237">
        <v>0.85260000000000002</v>
      </c>
      <c r="M237">
        <v>98</v>
      </c>
      <c r="N237">
        <v>5827</v>
      </c>
      <c r="O237">
        <v>11665</v>
      </c>
      <c r="P237">
        <v>18292</v>
      </c>
      <c r="Q237">
        <v>10511</v>
      </c>
      <c r="R237">
        <v>231</v>
      </c>
      <c r="S237">
        <v>13</v>
      </c>
      <c r="T237">
        <v>1345</v>
      </c>
      <c r="U237">
        <v>40843</v>
      </c>
      <c r="V237">
        <v>1679</v>
      </c>
      <c r="W237">
        <v>717</v>
      </c>
      <c r="X237">
        <v>433</v>
      </c>
      <c r="Y237">
        <v>1265</v>
      </c>
      <c r="Z237">
        <v>40</v>
      </c>
      <c r="AA237">
        <v>1305</v>
      </c>
    </row>
    <row r="238" spans="1:27" x14ac:dyDescent="0.3">
      <c r="A238">
        <v>20</v>
      </c>
      <c r="B238" t="s">
        <v>65</v>
      </c>
      <c r="C238">
        <v>2026</v>
      </c>
      <c r="D238">
        <v>9</v>
      </c>
      <c r="E238" t="s">
        <v>35</v>
      </c>
      <c r="F238">
        <v>227918</v>
      </c>
      <c r="G238">
        <v>0.95640000000000003</v>
      </c>
      <c r="H238">
        <v>33.1</v>
      </c>
      <c r="I238">
        <v>0.86080000000000001</v>
      </c>
      <c r="J238">
        <v>1085994</v>
      </c>
      <c r="K238">
        <v>0.32969999999999999</v>
      </c>
      <c r="L238">
        <v>0.51039999999999996</v>
      </c>
      <c r="M238">
        <v>175</v>
      </c>
      <c r="N238">
        <v>1472</v>
      </c>
      <c r="O238">
        <v>5279</v>
      </c>
      <c r="P238">
        <v>7814</v>
      </c>
      <c r="Q238">
        <v>12832</v>
      </c>
      <c r="R238">
        <v>119</v>
      </c>
      <c r="S238">
        <v>39</v>
      </c>
      <c r="T238">
        <v>344</v>
      </c>
      <c r="U238">
        <v>43238</v>
      </c>
      <c r="V238">
        <v>4680</v>
      </c>
      <c r="W238">
        <v>693</v>
      </c>
      <c r="X238">
        <v>201</v>
      </c>
      <c r="Y238">
        <v>1445</v>
      </c>
      <c r="Z238">
        <v>39</v>
      </c>
      <c r="AA238">
        <v>1484</v>
      </c>
    </row>
    <row r="239" spans="1:27" x14ac:dyDescent="0.3">
      <c r="A239">
        <v>20</v>
      </c>
      <c r="B239" t="s">
        <v>65</v>
      </c>
      <c r="C239">
        <v>2026</v>
      </c>
      <c r="D239">
        <v>10</v>
      </c>
      <c r="E239" t="s">
        <v>40</v>
      </c>
      <c r="F239">
        <v>136974</v>
      </c>
      <c r="G239">
        <v>0.8579</v>
      </c>
      <c r="H239">
        <v>9.8000000000000007</v>
      </c>
      <c r="I239">
        <v>0.91249999999999998</v>
      </c>
      <c r="J239">
        <v>932134</v>
      </c>
      <c r="K239">
        <v>0.25950000000000001</v>
      </c>
      <c r="L239">
        <v>0.62339999999999995</v>
      </c>
      <c r="M239">
        <v>46</v>
      </c>
      <c r="N239">
        <v>1410</v>
      </c>
      <c r="O239">
        <v>14584</v>
      </c>
      <c r="P239">
        <v>3651</v>
      </c>
      <c r="Q239">
        <v>5432</v>
      </c>
      <c r="R239">
        <v>1921</v>
      </c>
      <c r="S239">
        <v>41</v>
      </c>
      <c r="T239">
        <v>667</v>
      </c>
      <c r="U239">
        <v>9907</v>
      </c>
      <c r="V239">
        <v>4286</v>
      </c>
      <c r="W239">
        <v>789</v>
      </c>
      <c r="X239">
        <v>165</v>
      </c>
      <c r="Y239">
        <v>2464</v>
      </c>
      <c r="Z239">
        <v>88</v>
      </c>
      <c r="AA239">
        <v>2552</v>
      </c>
    </row>
    <row r="240" spans="1:27" x14ac:dyDescent="0.3">
      <c r="A240">
        <v>20</v>
      </c>
      <c r="B240" t="s">
        <v>65</v>
      </c>
      <c r="C240">
        <v>2026</v>
      </c>
      <c r="D240">
        <v>11</v>
      </c>
      <c r="E240" t="s">
        <v>41</v>
      </c>
      <c r="F240">
        <v>433343</v>
      </c>
      <c r="G240">
        <v>0.86980000000000002</v>
      </c>
      <c r="H240">
        <v>17.600000000000001</v>
      </c>
      <c r="I240">
        <v>0.9042</v>
      </c>
      <c r="J240">
        <v>1801264</v>
      </c>
      <c r="K240">
        <v>0.6996</v>
      </c>
      <c r="L240">
        <v>0.52159999999999995</v>
      </c>
      <c r="M240">
        <v>104</v>
      </c>
      <c r="N240">
        <v>9600</v>
      </c>
      <c r="O240">
        <v>12402</v>
      </c>
      <c r="P240">
        <v>11635</v>
      </c>
      <c r="Q240">
        <v>18472</v>
      </c>
      <c r="R240">
        <v>766</v>
      </c>
      <c r="S240">
        <v>61</v>
      </c>
      <c r="T240">
        <v>541</v>
      </c>
      <c r="U240">
        <v>35811</v>
      </c>
      <c r="V240">
        <v>1250</v>
      </c>
      <c r="W240">
        <v>144</v>
      </c>
      <c r="X240">
        <v>288</v>
      </c>
      <c r="Y240">
        <v>2029</v>
      </c>
      <c r="Z240">
        <v>198</v>
      </c>
      <c r="AA240">
        <v>2227</v>
      </c>
    </row>
    <row r="241" spans="1:27" x14ac:dyDescent="0.3">
      <c r="A241">
        <v>20</v>
      </c>
      <c r="B241" t="s">
        <v>65</v>
      </c>
      <c r="C241">
        <v>2026</v>
      </c>
      <c r="D241">
        <v>12</v>
      </c>
      <c r="E241" t="s">
        <v>42</v>
      </c>
      <c r="F241">
        <v>327168</v>
      </c>
      <c r="G241">
        <v>0.86560000000000004</v>
      </c>
      <c r="H241">
        <v>76.599999999999994</v>
      </c>
      <c r="I241">
        <v>0.87529999999999997</v>
      </c>
      <c r="J241">
        <v>579113</v>
      </c>
      <c r="K241">
        <v>0.85880000000000001</v>
      </c>
      <c r="L241">
        <v>0.7238</v>
      </c>
      <c r="M241">
        <v>60</v>
      </c>
      <c r="N241">
        <v>6740</v>
      </c>
      <c r="O241">
        <v>5230</v>
      </c>
      <c r="P241">
        <v>6489</v>
      </c>
      <c r="Q241">
        <v>24087</v>
      </c>
      <c r="R241">
        <v>1547</v>
      </c>
      <c r="S241">
        <v>40</v>
      </c>
      <c r="T241">
        <v>396</v>
      </c>
      <c r="U241">
        <v>3405</v>
      </c>
      <c r="V241">
        <v>2908</v>
      </c>
      <c r="W241">
        <v>566</v>
      </c>
      <c r="X241">
        <v>97</v>
      </c>
      <c r="Y241">
        <v>1594</v>
      </c>
      <c r="Z241">
        <v>63</v>
      </c>
      <c r="AA241">
        <v>1657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BFDA-5A0F-4DBA-B397-7E9F086A49CA}">
  <sheetPr codeName="Hoja2"/>
  <dimension ref="A1:C21"/>
  <sheetViews>
    <sheetView workbookViewId="0">
      <selection activeCell="A2" sqref="A2"/>
    </sheetView>
  </sheetViews>
  <sheetFormatPr baseColWidth="10" defaultRowHeight="14.4" x14ac:dyDescent="0.3"/>
  <cols>
    <col min="1" max="1" width="74.33203125" bestFit="1" customWidth="1"/>
  </cols>
  <sheetData>
    <row r="1" spans="1:3" x14ac:dyDescent="0.3">
      <c r="A1" s="14" t="s">
        <v>48</v>
      </c>
      <c r="C1" s="14" t="s">
        <v>49</v>
      </c>
    </row>
    <row r="2" spans="1:3" x14ac:dyDescent="0.3">
      <c r="A2" t="str" cm="1">
        <f t="array" ref="A2:A21">_xlfn._xlws.SORT(_xlfn.UNIQUE(tbl_Datos_WMS[Cliente]))</f>
        <v>AGROINDUSTRIAS SAN JULIAN S.A.</v>
      </c>
      <c r="C2" t="s">
        <v>27</v>
      </c>
    </row>
    <row r="3" spans="1:3" x14ac:dyDescent="0.3">
      <c r="A3" t="str">
        <v>ALIMENTOS DEL NORTE</v>
      </c>
      <c r="C3" t="s">
        <v>28</v>
      </c>
    </row>
    <row r="4" spans="1:3" x14ac:dyDescent="0.3">
      <c r="A4" t="str">
        <v>BEBIDAS REFRESCANTES S.A.</v>
      </c>
      <c r="C4" t="s">
        <v>29</v>
      </c>
    </row>
    <row r="5" spans="1:3" x14ac:dyDescent="0.3">
      <c r="A5" t="str">
        <v>BODY CENTER, S.A. DE C.V.</v>
      </c>
      <c r="C5" t="s">
        <v>30</v>
      </c>
    </row>
    <row r="6" spans="1:3" x14ac:dyDescent="0.3">
      <c r="A6" t="str">
        <v>COMERCIALIZADORA SUR</v>
      </c>
      <c r="C6" t="s">
        <v>31</v>
      </c>
    </row>
    <row r="7" spans="1:3" x14ac:dyDescent="0.3">
      <c r="A7" t="str">
        <v>CONSTRUCTORA MODERNA</v>
      </c>
      <c r="C7" t="s">
        <v>32</v>
      </c>
    </row>
    <row r="8" spans="1:3" x14ac:dyDescent="0.3">
      <c r="A8" t="str">
        <v>CORCOM</v>
      </c>
      <c r="C8" t="s">
        <v>33</v>
      </c>
    </row>
    <row r="9" spans="1:3" x14ac:dyDescent="0.3">
      <c r="A9" t="str">
        <v>DISTRIBUIDORA EL CARMEN, S.A.</v>
      </c>
      <c r="C9" t="s">
        <v>34</v>
      </c>
    </row>
    <row r="10" spans="1:3" x14ac:dyDescent="0.3">
      <c r="A10" t="str">
        <v>ELECTRODOMESTICOS EL SALVADOR</v>
      </c>
      <c r="C10" t="s">
        <v>35</v>
      </c>
    </row>
    <row r="11" spans="1:3" x14ac:dyDescent="0.3">
      <c r="A11" t="str">
        <v>FARMACIAS UNIDAS S.A.</v>
      </c>
      <c r="C11" t="s">
        <v>40</v>
      </c>
    </row>
    <row r="12" spans="1:3" x14ac:dyDescent="0.3">
      <c r="A12" t="str">
        <v>IMPORTADORA GLOBO</v>
      </c>
      <c r="C12" t="s">
        <v>41</v>
      </c>
    </row>
    <row r="13" spans="1:3" x14ac:dyDescent="0.3">
      <c r="A13" t="str">
        <v>LUBRICANTES Y MAS DE C.V.</v>
      </c>
      <c r="C13" t="s">
        <v>42</v>
      </c>
    </row>
    <row r="14" spans="1:3" x14ac:dyDescent="0.3">
      <c r="A14" t="str">
        <v>MUEBLES Y DECORACION S.A. DE C.V.</v>
      </c>
    </row>
    <row r="15" spans="1:3" x14ac:dyDescent="0.3">
      <c r="A15" t="str">
        <v>PIMI S.A DE C.V</v>
      </c>
    </row>
    <row r="16" spans="1:3" x14ac:dyDescent="0.3">
      <c r="A16" t="str">
        <v>REPUESTOS AUTOMOTRICES S.A.</v>
      </c>
    </row>
    <row r="17" spans="1:1" x14ac:dyDescent="0.3">
      <c r="A17" t="str">
        <v>SUMINISTROS DE RESTAURANTES, S.A. DE C.V.</v>
      </c>
    </row>
    <row r="18" spans="1:1" x14ac:dyDescent="0.3">
      <c r="A18" t="str">
        <v>SUPERMERCADOS LOCALES</v>
      </c>
    </row>
    <row r="19" spans="1:1" x14ac:dyDescent="0.3">
      <c r="A19" t="str">
        <v>TECH LOGISTICS EL SALVADOR</v>
      </c>
    </row>
    <row r="20" spans="1:1" x14ac:dyDescent="0.3">
      <c r="A20" t="str">
        <v>TEXTILES PREMIUM S.A.</v>
      </c>
    </row>
    <row r="21" spans="1:1" x14ac:dyDescent="0.3">
      <c r="A21" t="str">
        <v>TITAN PEAK</v>
      </c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pageSetUpPr fitToPage="1"/>
  </sheetPr>
  <dimension ref="A1:AP31"/>
  <sheetViews>
    <sheetView showGridLines="0" tabSelected="1" zoomScale="91" zoomScaleNormal="90" workbookViewId="0">
      <selection activeCell="L2" sqref="L2"/>
    </sheetView>
  </sheetViews>
  <sheetFormatPr baseColWidth="10" defaultColWidth="9.109375" defaultRowHeight="14.4" x14ac:dyDescent="0.3"/>
  <cols>
    <col min="1" max="11" width="9.6640625" customWidth="1"/>
    <col min="12" max="12" width="34.44140625" customWidth="1"/>
    <col min="13" max="13" width="10.5546875" customWidth="1"/>
    <col min="14" max="14" width="1.109375" hidden="1" customWidth="1"/>
    <col min="15" max="15" width="41" customWidth="1"/>
    <col min="16" max="16" width="33.109375" bestFit="1" customWidth="1"/>
    <col min="17" max="17" width="28.6640625" customWidth="1"/>
    <col min="21" max="21" width="25" customWidth="1"/>
    <col min="28" max="28" width="11.33203125" bestFit="1" customWidth="1"/>
    <col min="31" max="31" width="18.109375" bestFit="1" customWidth="1"/>
  </cols>
  <sheetData>
    <row r="1" spans="1:4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42" ht="34.5" customHeight="1" thickBot="1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6" t="s">
        <v>51</v>
      </c>
      <c r="M2" s="1"/>
      <c r="N2" s="1"/>
      <c r="P2" s="3" t="s">
        <v>0</v>
      </c>
      <c r="Q2" s="4" t="s">
        <v>1</v>
      </c>
      <c r="R2" s="4" t="s">
        <v>2</v>
      </c>
      <c r="S2" s="4" t="s">
        <v>3</v>
      </c>
      <c r="T2" s="4" t="s">
        <v>4</v>
      </c>
      <c r="U2" s="4" t="s">
        <v>5</v>
      </c>
      <c r="V2" s="4" t="s">
        <v>6</v>
      </c>
      <c r="W2" s="4" t="s">
        <v>7</v>
      </c>
      <c r="X2" s="4" t="s">
        <v>8</v>
      </c>
      <c r="Y2" s="4" t="s">
        <v>9</v>
      </c>
      <c r="Z2" s="4" t="s">
        <v>10</v>
      </c>
      <c r="AA2" s="4" t="s">
        <v>11</v>
      </c>
      <c r="AB2" s="4" t="s">
        <v>12</v>
      </c>
      <c r="AC2" s="4" t="s">
        <v>13</v>
      </c>
      <c r="AD2" s="4" t="s">
        <v>14</v>
      </c>
      <c r="AE2" s="4" t="s">
        <v>15</v>
      </c>
      <c r="AF2" s="4" t="s">
        <v>16</v>
      </c>
      <c r="AG2" s="4" t="s">
        <v>17</v>
      </c>
      <c r="AH2" s="4" t="s">
        <v>18</v>
      </c>
      <c r="AI2" s="4" t="s">
        <v>19</v>
      </c>
      <c r="AJ2" s="4" t="s">
        <v>20</v>
      </c>
      <c r="AK2" s="4" t="s">
        <v>21</v>
      </c>
      <c r="AL2" s="4" t="s">
        <v>22</v>
      </c>
      <c r="AM2" s="4" t="s">
        <v>23</v>
      </c>
      <c r="AN2" s="4" t="s">
        <v>24</v>
      </c>
      <c r="AO2" s="4" t="s">
        <v>25</v>
      </c>
      <c r="AP2" s="8" t="s">
        <v>26</v>
      </c>
    </row>
    <row r="3" spans="1:42" ht="16.2" thickBo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7" t="s">
        <v>42</v>
      </c>
      <c r="M3" s="1"/>
      <c r="N3" s="1"/>
      <c r="P3" cm="1">
        <f t="array" ref="P3:AP3">_xlfn._xlws.FILTER(tbl_Datos_WMS[], (tbl_Datos_WMS[Cliente]=$L$2) * (tbl_Datos_WMS[NombreMes]=$L$3), "Sin datos")</f>
        <v>6</v>
      </c>
      <c r="Q3" t="str">
        <v>TITAN PEAK</v>
      </c>
      <c r="R3">
        <v>2026</v>
      </c>
      <c r="S3">
        <v>12</v>
      </c>
      <c r="T3" t="str">
        <v>Diciembre</v>
      </c>
      <c r="U3" s="13">
        <v>76432</v>
      </c>
      <c r="V3">
        <v>0.97070000000000001</v>
      </c>
      <c r="W3">
        <v>6.2</v>
      </c>
      <c r="X3" s="9">
        <v>0.96140000000000003</v>
      </c>
      <c r="Y3">
        <v>62961</v>
      </c>
      <c r="Z3" s="9">
        <v>0.52339999999999998</v>
      </c>
      <c r="AA3" s="9">
        <v>0.80569999999999997</v>
      </c>
      <c r="AB3" s="13">
        <v>193</v>
      </c>
      <c r="AC3">
        <v>7373</v>
      </c>
      <c r="AD3">
        <v>2517</v>
      </c>
      <c r="AE3" s="9">
        <v>2972</v>
      </c>
      <c r="AF3">
        <v>40585</v>
      </c>
      <c r="AG3">
        <v>381</v>
      </c>
      <c r="AH3">
        <v>56</v>
      </c>
      <c r="AI3">
        <v>267</v>
      </c>
      <c r="AJ3">
        <v>31817</v>
      </c>
      <c r="AK3">
        <v>3898</v>
      </c>
      <c r="AL3">
        <v>205</v>
      </c>
      <c r="AM3">
        <v>32</v>
      </c>
      <c r="AN3">
        <v>1603</v>
      </c>
      <c r="AO3">
        <v>153</v>
      </c>
      <c r="AP3">
        <v>1756</v>
      </c>
    </row>
    <row r="4" spans="1:4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42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4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5"/>
      <c r="M6" s="1"/>
      <c r="N6" s="1"/>
    </row>
    <row r="7" spans="1:42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4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4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42" ht="18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P10" s="15" t="s">
        <v>44</v>
      </c>
      <c r="Q10" s="15">
        <f>AJ3</f>
        <v>31817</v>
      </c>
      <c r="U10" s="10"/>
    </row>
    <row r="11" spans="1:4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P11" s="15" t="s">
        <v>45</v>
      </c>
      <c r="Q11" s="15">
        <f>AK3</f>
        <v>3898</v>
      </c>
    </row>
    <row r="12" spans="1:42" x14ac:dyDescent="0.3">
      <c r="A12" s="1"/>
      <c r="B12" s="1"/>
      <c r="C12" s="1" t="s">
        <v>43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P12" s="15" t="s">
        <v>46</v>
      </c>
      <c r="Q12" s="15">
        <f>AL3</f>
        <v>205</v>
      </c>
    </row>
    <row r="13" spans="1:4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P13" s="15" t="s">
        <v>47</v>
      </c>
      <c r="Q13" s="15">
        <f>AM3</f>
        <v>32</v>
      </c>
      <c r="U13" s="11"/>
    </row>
    <row r="14" spans="1:4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U14" s="12"/>
    </row>
    <row r="15" spans="1:4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U15" s="11"/>
    </row>
    <row r="16" spans="1:4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U16" s="12"/>
    </row>
    <row r="17" spans="1:2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U17" s="11"/>
    </row>
    <row r="18" spans="1:2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U18" s="12"/>
    </row>
    <row r="19" spans="1:2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2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U20" s="2"/>
    </row>
    <row r="21" spans="1:2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U21" s="11"/>
    </row>
    <row r="22" spans="1:2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U22" s="11"/>
    </row>
    <row r="23" spans="1:2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U23" s="11"/>
    </row>
    <row r="24" spans="1:2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U24" s="11"/>
    </row>
    <row r="25" spans="1:2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U25" s="11"/>
    </row>
    <row r="26" spans="1:2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U26" s="11"/>
    </row>
    <row r="27" spans="1:2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U27" s="11"/>
    </row>
    <row r="28" spans="1:2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U28" s="11"/>
    </row>
    <row r="29" spans="1:2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2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2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scale="9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39AAEF-D1DB-48EF-A101-D46F3D732563}">
          <x14:formula1>
            <xm:f>_xlfn.ANCHORARRAY(CONFIG!$A$2)</xm:f>
          </x14:formula1>
          <xm:sqref>L2</xm:sqref>
        </x14:dataValidation>
        <x14:dataValidation type="list" allowBlank="1" showInputMessage="1" showErrorMessage="1" xr:uid="{26407300-1DE5-4D76-AC0C-B8238C5C8779}">
          <x14:formula1>
            <xm:f>CONFIG!$C$2:$C$13</xm:f>
          </x14:formula1>
          <xm:sqref>L3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52D0BE-794F-4799-93B7-E1C41E7769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BASE_WMS</vt:lpstr>
      <vt:lpstr>CONFIG</vt:lpstr>
      <vt:lpstr>DASHBOARD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Pasantia STYBA</dc:creator>
  <cp:lastModifiedBy>Elías Yoel Romero Sánchez</cp:lastModifiedBy>
  <cp:lastPrinted>2026-10-29T02:54:51Z</cp:lastPrinted>
  <dcterms:created xsi:type="dcterms:W3CDTF">2015-06-05T18:17:20Z</dcterms:created>
  <dcterms:modified xsi:type="dcterms:W3CDTF">2026-10-29T15:40:31Z</dcterms:modified>
</cp:coreProperties>
</file>