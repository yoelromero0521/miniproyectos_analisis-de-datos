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santia.styba\Desktop\"/>
    </mc:Choice>
  </mc:AlternateContent>
  <xr:revisionPtr revIDLastSave="0" documentId="13_ncr:1_{60F16F82-96F1-4754-BB5E-16068E9FAA6A}" xr6:coauthVersionLast="47" xr6:coauthVersionMax="47" xr10:uidLastSave="{00000000-0000-0000-0000-000000000000}"/>
  <bookViews>
    <workbookView xWindow="-120" yWindow="-120" windowWidth="20730" windowHeight="11160" activeTab="4" xr2:uid="{1EA2EF3A-7865-408E-84EA-B83A662EA5DE}"/>
  </bookViews>
  <sheets>
    <sheet name="CLIENTES" sheetId="4" r:id="rId1"/>
    <sheet name="DATA" sheetId="1" r:id="rId2"/>
    <sheet name="Dashboard" sheetId="2" r:id="rId3"/>
    <sheet name="Ficha Cliente" sheetId="5" r:id="rId4"/>
    <sheet name="CONFIG" sheetId="6" r:id="rId5"/>
    <sheet name="Tabla dinamica" sheetId="3" state="hidden" r:id="rId6"/>
  </sheets>
  <functionGroups builtInGroupCount="19"/>
  <definedNames>
    <definedName name="_xlpm.fechas" hidden="1" xlm="1">#NAME?</definedName>
    <definedName name="ListaClientes">OFFSET('Tabla dinamica'!$U$3,0,0,MAX(1,COUNTIF('Tabla dinamica'!$U$3:$U$202,"?*")),1)</definedName>
    <definedName name="ListaDocumentos">OFFSET('Tabla dinamica'!$P$3,0,0,1+COUNTA(TablaDocumentos[Documento]),1)</definedName>
    <definedName name="SegmentaciónDeDatos_Estatus_Cliente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17" i="5" l="1" a="1"/>
  <c r="F17" i="5" s="1"/>
  <c r="D17" i="5" a="1"/>
  <c r="D17" i="5" s="1"/>
  <c r="C17" i="5" a="1"/>
  <c r="C17" i="5" s="1"/>
  <c r="P5" i="3" a="1"/>
  <c r="P5" i="3" s="1"/>
  <c r="P6" i="3" a="1"/>
  <c r="P6" i="3" s="1"/>
  <c r="P7" i="3" a="1"/>
  <c r="P7" i="3" s="1"/>
  <c r="P8" i="3" a="1"/>
  <c r="P8" i="3" s="1"/>
  <c r="P9" i="3" a="1"/>
  <c r="P9" i="3" s="1"/>
  <c r="P10" i="3" a="1"/>
  <c r="P10" i="3" s="1"/>
  <c r="P11" i="3" a="1"/>
  <c r="P11" i="3" s="1"/>
  <c r="P12" i="3" a="1"/>
  <c r="P12" i="3" s="1"/>
  <c r="P13" i="3" a="1"/>
  <c r="P13" i="3" s="1"/>
  <c r="P14" i="3" a="1"/>
  <c r="P14" i="3" s="1"/>
  <c r="P15" i="3" a="1"/>
  <c r="P15" i="3" s="1"/>
  <c r="P16" i="3" a="1"/>
  <c r="P16" i="3" s="1"/>
  <c r="P17" i="3" a="1"/>
  <c r="P17" i="3" s="1"/>
  <c r="P18" i="3" a="1"/>
  <c r="P18" i="3" s="1"/>
  <c r="P19" i="3" a="1"/>
  <c r="P19" i="3" s="1"/>
  <c r="P20" i="3" a="1"/>
  <c r="P20" i="3" s="1"/>
  <c r="P21" i="3" a="1"/>
  <c r="P21" i="3" s="1"/>
  <c r="P22" i="3" a="1"/>
  <c r="P22" i="3" s="1"/>
  <c r="P23" i="3" a="1"/>
  <c r="P23" i="3" s="1"/>
  <c r="P24" i="3" a="1"/>
  <c r="P24" i="3" s="1"/>
  <c r="P25" i="3" a="1"/>
  <c r="P25" i="3" s="1"/>
  <c r="P26" i="3" a="1"/>
  <c r="P26" i="3" s="1"/>
  <c r="P27" i="3" a="1"/>
  <c r="P27" i="3" s="1"/>
  <c r="P28" i="3" a="1"/>
  <c r="P28" i="3" s="1"/>
  <c r="P29" i="3" a="1"/>
  <c r="P29" i="3" s="1"/>
  <c r="P30" i="3" a="1"/>
  <c r="P30" i="3" s="1"/>
  <c r="P31" i="3" a="1"/>
  <c r="P31" i="3" s="1"/>
  <c r="P32" i="3" a="1"/>
  <c r="P32" i="3" s="1"/>
  <c r="P33" i="3" a="1"/>
  <c r="P33" i="3" s="1"/>
  <c r="P34" i="3" a="1"/>
  <c r="P34" i="3" s="1"/>
  <c r="P35" i="3" a="1"/>
  <c r="P35" i="3" s="1"/>
  <c r="P36" i="3" a="1"/>
  <c r="P36" i="3" s="1"/>
  <c r="P37" i="3" a="1"/>
  <c r="P37" i="3" s="1"/>
  <c r="P38" i="3" a="1"/>
  <c r="P38" i="3" s="1"/>
  <c r="P39" i="3" a="1"/>
  <c r="P39" i="3" s="1"/>
  <c r="P40" i="3" a="1"/>
  <c r="P40" i="3" s="1"/>
  <c r="P41" i="3" a="1"/>
  <c r="P41" i="3" s="1"/>
  <c r="P42" i="3" a="1"/>
  <c r="P42" i="3" s="1"/>
  <c r="P43" i="3" a="1"/>
  <c r="P43" i="3" s="1"/>
  <c r="P44" i="3" a="1"/>
  <c r="P44" i="3" s="1"/>
  <c r="P45" i="3" a="1"/>
  <c r="P45" i="3" s="1"/>
  <c r="P46" i="3" a="1"/>
  <c r="P46" i="3" s="1"/>
  <c r="P47" i="3" a="1"/>
  <c r="P47" i="3" s="1"/>
  <c r="P48" i="3" a="1"/>
  <c r="P48" i="3" s="1"/>
  <c r="P49" i="3" a="1"/>
  <c r="P49" i="3" s="1"/>
  <c r="P50" i="3" a="1"/>
  <c r="P50" i="3" s="1"/>
  <c r="P51" i="3" a="1"/>
  <c r="P51" i="3" s="1"/>
  <c r="P52" i="3" a="1"/>
  <c r="P52" i="3" s="1"/>
  <c r="P53" i="3" a="1"/>
  <c r="P53" i="3" s="1"/>
  <c r="P54" i="3" a="1"/>
  <c r="P54" i="3" s="1"/>
  <c r="P55" i="3" a="1"/>
  <c r="P55" i="3" s="1"/>
  <c r="P56" i="3" a="1"/>
  <c r="P56" i="3" s="1"/>
  <c r="P57" i="3" a="1"/>
  <c r="P57" i="3" s="1"/>
  <c r="P58" i="3" a="1"/>
  <c r="P58" i="3" s="1"/>
  <c r="P59" i="3" a="1"/>
  <c r="P59" i="3" s="1"/>
  <c r="P60" i="3" a="1"/>
  <c r="P60" i="3" s="1"/>
  <c r="P61" i="3" a="1"/>
  <c r="P61" i="3" s="1"/>
  <c r="P62" i="3" a="1"/>
  <c r="P62" i="3" s="1"/>
  <c r="P63" i="3" a="1"/>
  <c r="P63" i="3" s="1"/>
  <c r="P64" i="3" a="1"/>
  <c r="P64" i="3" s="1"/>
  <c r="P65" i="3" a="1"/>
  <c r="P65" i="3" s="1"/>
  <c r="P66" i="3" a="1"/>
  <c r="P66" i="3" s="1"/>
  <c r="P67" i="3" a="1"/>
  <c r="P67" i="3" s="1"/>
  <c r="P68" i="3" a="1"/>
  <c r="P68" i="3" s="1"/>
  <c r="P69" i="3" a="1"/>
  <c r="P69" i="3" s="1"/>
  <c r="P70" i="3" a="1"/>
  <c r="P70" i="3" s="1"/>
  <c r="P71" i="3" a="1"/>
  <c r="P71" i="3" s="1"/>
  <c r="P72" i="3" a="1"/>
  <c r="P72" i="3" s="1"/>
  <c r="P73" i="3" a="1"/>
  <c r="P73" i="3" s="1"/>
  <c r="P74" i="3" a="1"/>
  <c r="P74" i="3" s="1"/>
  <c r="P75" i="3" a="1"/>
  <c r="P75" i="3" s="1"/>
  <c r="P76" i="3" a="1"/>
  <c r="P76" i="3" s="1"/>
  <c r="P77" i="3" a="1"/>
  <c r="P77" i="3" s="1"/>
  <c r="P78" i="3" a="1"/>
  <c r="P78" i="3" s="1"/>
  <c r="P79" i="3" a="1"/>
  <c r="P79" i="3" s="1"/>
  <c r="P80" i="3" a="1"/>
  <c r="P80" i="3" s="1"/>
  <c r="P81" i="3" a="1"/>
  <c r="P81" i="3" s="1"/>
  <c r="P82" i="3" a="1"/>
  <c r="P82" i="3" s="1"/>
  <c r="P83" i="3" a="1"/>
  <c r="P83" i="3" s="1"/>
  <c r="P84" i="3" a="1"/>
  <c r="P84" i="3" s="1"/>
  <c r="P85" i="3" a="1"/>
  <c r="P85" i="3" s="1"/>
  <c r="P86" i="3" a="1"/>
  <c r="P86" i="3" s="1"/>
  <c r="P87" i="3" a="1"/>
  <c r="P87" i="3" s="1"/>
  <c r="P88" i="3" a="1"/>
  <c r="P88" i="3" s="1"/>
  <c r="P89" i="3" a="1"/>
  <c r="P89" i="3" s="1"/>
  <c r="P90" i="3" a="1"/>
  <c r="P90" i="3" s="1"/>
  <c r="P91" i="3" a="1"/>
  <c r="P91" i="3" s="1"/>
  <c r="P92" i="3" a="1"/>
  <c r="P92" i="3" s="1"/>
  <c r="P93" i="3" a="1"/>
  <c r="P93" i="3" s="1"/>
  <c r="P94" i="3" a="1"/>
  <c r="P94" i="3" s="1"/>
  <c r="P95" i="3" a="1"/>
  <c r="P95" i="3" s="1"/>
  <c r="P96" i="3" a="1"/>
  <c r="P96" i="3" s="1"/>
  <c r="P97" i="3" a="1"/>
  <c r="P97" i="3" s="1"/>
  <c r="P98" i="3" a="1"/>
  <c r="P98" i="3" s="1"/>
  <c r="P99" i="3" a="1"/>
  <c r="P99" i="3" s="1"/>
  <c r="P100" i="3" a="1"/>
  <c r="P100" i="3" s="1"/>
  <c r="P101" i="3" a="1"/>
  <c r="P101" i="3" s="1"/>
  <c r="P102" i="3" a="1"/>
  <c r="P102" i="3" s="1"/>
  <c r="P103" i="3" a="1"/>
  <c r="P103" i="3" s="1"/>
  <c r="P104" i="3" a="1"/>
  <c r="P104" i="3" s="1"/>
  <c r="P105" i="3" a="1"/>
  <c r="P105" i="3" s="1"/>
  <c r="P106" i="3" a="1"/>
  <c r="P106" i="3" s="1"/>
  <c r="P107" i="3" a="1"/>
  <c r="P107" i="3" s="1"/>
  <c r="P108" i="3" a="1"/>
  <c r="P108" i="3" s="1"/>
  <c r="P109" i="3" a="1"/>
  <c r="P109" i="3" s="1"/>
  <c r="P110" i="3" a="1"/>
  <c r="P110" i="3" s="1"/>
  <c r="P111" i="3" a="1"/>
  <c r="P111" i="3" s="1"/>
  <c r="P112" i="3" a="1"/>
  <c r="P112" i="3" s="1"/>
  <c r="P113" i="3" a="1"/>
  <c r="P113" i="3" s="1"/>
  <c r="P114" i="3" a="1"/>
  <c r="P114" i="3" s="1"/>
  <c r="P115" i="3" a="1"/>
  <c r="P115" i="3" s="1"/>
  <c r="P116" i="3" a="1"/>
  <c r="P116" i="3" s="1"/>
  <c r="P117" i="3" a="1"/>
  <c r="P117" i="3" s="1"/>
  <c r="P118" i="3" a="1"/>
  <c r="P118" i="3" s="1"/>
  <c r="P119" i="3" a="1"/>
  <c r="P119" i="3" s="1"/>
  <c r="P120" i="3" a="1"/>
  <c r="P120" i="3" s="1"/>
  <c r="P121" i="3" a="1"/>
  <c r="P121" i="3" s="1"/>
  <c r="P122" i="3" a="1"/>
  <c r="P122" i="3" s="1"/>
  <c r="P123" i="3" a="1"/>
  <c r="P123" i="3" s="1"/>
  <c r="P124" i="3" a="1"/>
  <c r="P124" i="3" s="1"/>
  <c r="P125" i="3" a="1"/>
  <c r="P125" i="3" s="1"/>
  <c r="P126" i="3" a="1"/>
  <c r="P126" i="3" s="1"/>
  <c r="P127" i="3" a="1"/>
  <c r="P127" i="3" s="1"/>
  <c r="P128" i="3" a="1"/>
  <c r="P128" i="3" s="1"/>
  <c r="P129" i="3" a="1"/>
  <c r="P129" i="3" s="1"/>
  <c r="P130" i="3" a="1"/>
  <c r="P130" i="3" s="1"/>
  <c r="P131" i="3" a="1"/>
  <c r="P131" i="3" s="1"/>
  <c r="P132" i="3" a="1"/>
  <c r="P132" i="3" s="1"/>
  <c r="P133" i="3" a="1"/>
  <c r="P133" i="3" s="1"/>
  <c r="P134" i="3" a="1"/>
  <c r="P134" i="3" s="1"/>
  <c r="P135" i="3" a="1"/>
  <c r="P135" i="3" s="1"/>
  <c r="P136" i="3" a="1"/>
  <c r="P136" i="3" s="1"/>
  <c r="P137" i="3" a="1"/>
  <c r="P137" i="3" s="1"/>
  <c r="P138" i="3" a="1"/>
  <c r="P138" i="3" s="1"/>
  <c r="P139" i="3" a="1"/>
  <c r="P139" i="3" s="1"/>
  <c r="P140" i="3" a="1"/>
  <c r="P140" i="3" s="1"/>
  <c r="P141" i="3" a="1"/>
  <c r="P141" i="3" s="1"/>
  <c r="P142" i="3" a="1"/>
  <c r="P142" i="3" s="1"/>
  <c r="P143" i="3" a="1"/>
  <c r="P143" i="3" s="1"/>
  <c r="P144" i="3" a="1"/>
  <c r="P144" i="3" s="1"/>
  <c r="P145" i="3" a="1"/>
  <c r="P145" i="3" s="1"/>
  <c r="P146" i="3" a="1"/>
  <c r="P146" i="3" s="1"/>
  <c r="P147" i="3" a="1"/>
  <c r="P147" i="3" s="1"/>
  <c r="P148" i="3" a="1"/>
  <c r="P148" i="3" s="1"/>
  <c r="P149" i="3" a="1"/>
  <c r="P149" i="3" s="1"/>
  <c r="P150" i="3" a="1"/>
  <c r="P150" i="3" s="1"/>
  <c r="P151" i="3" a="1"/>
  <c r="P151" i="3" s="1"/>
  <c r="P152" i="3" a="1"/>
  <c r="P152" i="3" s="1"/>
  <c r="P153" i="3" a="1"/>
  <c r="P153" i="3" s="1"/>
  <c r="P154" i="3" a="1"/>
  <c r="P154" i="3" s="1"/>
  <c r="P155" i="3" a="1"/>
  <c r="P155" i="3" s="1"/>
  <c r="P156" i="3" a="1"/>
  <c r="P156" i="3" s="1"/>
  <c r="P157" i="3" a="1"/>
  <c r="P157" i="3" s="1"/>
  <c r="P158" i="3" a="1"/>
  <c r="P158" i="3" s="1"/>
  <c r="P159" i="3" a="1"/>
  <c r="P159" i="3" s="1"/>
  <c r="P160" i="3" a="1"/>
  <c r="P160" i="3" s="1"/>
  <c r="P161" i="3" a="1"/>
  <c r="P161" i="3" s="1"/>
  <c r="P162" i="3" a="1"/>
  <c r="P162" i="3" s="1"/>
  <c r="P163" i="3" a="1"/>
  <c r="P163" i="3" s="1"/>
  <c r="P164" i="3" a="1"/>
  <c r="P164" i="3" s="1"/>
  <c r="P165" i="3" a="1"/>
  <c r="P165" i="3" s="1"/>
  <c r="P166" i="3" a="1"/>
  <c r="P166" i="3" s="1"/>
  <c r="P167" i="3" a="1"/>
  <c r="P167" i="3" s="1"/>
  <c r="P168" i="3" a="1"/>
  <c r="P168" i="3" s="1"/>
  <c r="P169" i="3" a="1"/>
  <c r="P169" i="3" s="1"/>
  <c r="P170" i="3" a="1"/>
  <c r="P170" i="3" s="1"/>
  <c r="P171" i="3" a="1"/>
  <c r="P171" i="3" s="1"/>
  <c r="P172" i="3" a="1"/>
  <c r="P172" i="3" s="1"/>
  <c r="P173" i="3" a="1"/>
  <c r="P173" i="3" s="1"/>
  <c r="P174" i="3" a="1"/>
  <c r="P174" i="3" s="1"/>
  <c r="P175" i="3" a="1"/>
  <c r="P175" i="3" s="1"/>
  <c r="P176" i="3" a="1"/>
  <c r="P176" i="3" s="1"/>
  <c r="P177" i="3" a="1"/>
  <c r="P177" i="3" s="1"/>
  <c r="P178" i="3" a="1"/>
  <c r="P178" i="3" s="1"/>
  <c r="P179" i="3" a="1"/>
  <c r="P179" i="3" s="1"/>
  <c r="P180" i="3" a="1"/>
  <c r="P180" i="3" s="1"/>
  <c r="P181" i="3" a="1"/>
  <c r="P181" i="3" s="1"/>
  <c r="P182" i="3" a="1"/>
  <c r="P182" i="3" s="1"/>
  <c r="P183" i="3" a="1"/>
  <c r="P183" i="3" s="1"/>
  <c r="P184" i="3" a="1"/>
  <c r="P184" i="3" s="1"/>
  <c r="P185" i="3" a="1"/>
  <c r="P185" i="3" s="1"/>
  <c r="P186" i="3" a="1"/>
  <c r="P186" i="3" s="1"/>
  <c r="P187" i="3" a="1"/>
  <c r="P187" i="3" s="1"/>
  <c r="P188" i="3" a="1"/>
  <c r="P188" i="3" s="1"/>
  <c r="P189" i="3" a="1"/>
  <c r="P189" i="3" s="1"/>
  <c r="P190" i="3" a="1"/>
  <c r="P190" i="3" s="1"/>
  <c r="P191" i="3" a="1"/>
  <c r="P191" i="3" s="1"/>
  <c r="P192" i="3" a="1"/>
  <c r="P192" i="3" s="1"/>
  <c r="P193" i="3" a="1"/>
  <c r="P193" i="3" s="1"/>
  <c r="P194" i="3" a="1"/>
  <c r="P194" i="3" s="1"/>
  <c r="P195" i="3" a="1"/>
  <c r="P195" i="3" s="1"/>
  <c r="P196" i="3" a="1"/>
  <c r="P196" i="3" s="1"/>
  <c r="P197" i="3" a="1"/>
  <c r="P197" i="3" s="1"/>
  <c r="P198" i="3" a="1"/>
  <c r="P198" i="3" s="1"/>
  <c r="P199" i="3" a="1"/>
  <c r="P199" i="3" s="1"/>
  <c r="P200" i="3" a="1"/>
  <c r="P200" i="3" s="1"/>
  <c r="P201" i="3" a="1"/>
  <c r="P201" i="3" s="1"/>
  <c r="P202" i="3" a="1"/>
  <c r="P202" i="3" s="1"/>
  <c r="P203" i="3" a="1"/>
  <c r="P203" i="3" s="1"/>
  <c r="P4" i="3" a="1"/>
  <c r="P4" i="3" s="1"/>
  <c r="U202" i="3"/>
  <c r="U201" i="3"/>
  <c r="U200" i="3"/>
  <c r="U199" i="3"/>
  <c r="U198" i="3"/>
  <c r="U197" i="3"/>
  <c r="U196" i="3"/>
  <c r="U195" i="3"/>
  <c r="U194" i="3"/>
  <c r="U193" i="3"/>
  <c r="U192" i="3"/>
  <c r="U191" i="3"/>
  <c r="U190" i="3"/>
  <c r="U189" i="3"/>
  <c r="U188" i="3"/>
  <c r="U187" i="3"/>
  <c r="U186" i="3"/>
  <c r="U185" i="3"/>
  <c r="U184" i="3"/>
  <c r="U183" i="3"/>
  <c r="U182" i="3"/>
  <c r="U181" i="3"/>
  <c r="U180" i="3"/>
  <c r="U179" i="3"/>
  <c r="U178" i="3"/>
  <c r="U177" i="3"/>
  <c r="U176" i="3"/>
  <c r="U175" i="3"/>
  <c r="U174" i="3"/>
  <c r="U173" i="3"/>
  <c r="U172" i="3"/>
  <c r="U171" i="3"/>
  <c r="U170" i="3"/>
  <c r="U169" i="3"/>
  <c r="U168" i="3"/>
  <c r="U167" i="3"/>
  <c r="U166" i="3"/>
  <c r="U165" i="3"/>
  <c r="U164" i="3"/>
  <c r="U163" i="3"/>
  <c r="U162" i="3"/>
  <c r="U161" i="3"/>
  <c r="U160" i="3"/>
  <c r="U159" i="3"/>
  <c r="U158" i="3"/>
  <c r="U157" i="3"/>
  <c r="U156" i="3"/>
  <c r="U155" i="3"/>
  <c r="U154" i="3"/>
  <c r="U153" i="3"/>
  <c r="U152" i="3"/>
  <c r="U151" i="3"/>
  <c r="U150" i="3"/>
  <c r="U149" i="3"/>
  <c r="U148" i="3"/>
  <c r="U147" i="3"/>
  <c r="U146" i="3"/>
  <c r="U145" i="3"/>
  <c r="U144" i="3"/>
  <c r="U143" i="3"/>
  <c r="U142" i="3"/>
  <c r="U141" i="3"/>
  <c r="U140" i="3"/>
  <c r="U139" i="3"/>
  <c r="U138" i="3"/>
  <c r="U137" i="3"/>
  <c r="U136" i="3"/>
  <c r="U135" i="3"/>
  <c r="U134" i="3"/>
  <c r="U133" i="3"/>
  <c r="U132" i="3"/>
  <c r="U131" i="3"/>
  <c r="U130" i="3"/>
  <c r="U129" i="3"/>
  <c r="U128" i="3"/>
  <c r="U127" i="3"/>
  <c r="U126" i="3"/>
  <c r="U125" i="3"/>
  <c r="U124" i="3"/>
  <c r="U123" i="3"/>
  <c r="U122" i="3"/>
  <c r="U121" i="3"/>
  <c r="U120" i="3"/>
  <c r="U119" i="3"/>
  <c r="U118" i="3"/>
  <c r="U117" i="3"/>
  <c r="U116" i="3"/>
  <c r="U115" i="3"/>
  <c r="U114" i="3"/>
  <c r="U113" i="3"/>
  <c r="U112" i="3"/>
  <c r="U111" i="3"/>
  <c r="U110" i="3"/>
  <c r="U109" i="3"/>
  <c r="U108" i="3"/>
  <c r="U107" i="3"/>
  <c r="U106" i="3"/>
  <c r="U105" i="3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C15" i="3"/>
  <c r="U14" i="3"/>
  <c r="U13" i="3"/>
  <c r="U12" i="3"/>
  <c r="U11" i="3"/>
  <c r="U10" i="3"/>
  <c r="U9" i="3"/>
  <c r="U8" i="3"/>
  <c r="U7" i="3"/>
  <c r="U6" i="3"/>
  <c r="U5" i="3"/>
  <c r="M5" i="3"/>
  <c r="U4" i="3"/>
  <c r="M4" i="3"/>
  <c r="L4" i="3"/>
  <c r="U3" i="3"/>
  <c r="T3" i="3"/>
  <c r="I7" i="5"/>
  <c r="I50" i="5" s="1"/>
  <c r="G3" i="5"/>
  <c r="R167" i="2"/>
  <c r="M167" i="2" s="1"/>
  <c r="R166" i="2"/>
  <c r="R165" i="2"/>
  <c r="R164" i="2"/>
  <c r="R163" i="2"/>
  <c r="R162" i="2"/>
  <c r="L162" i="2" s="1"/>
  <c r="R161" i="2"/>
  <c r="L161" i="2" s="1"/>
  <c r="R160" i="2"/>
  <c r="N160" i="2" s="1"/>
  <c r="R159" i="2"/>
  <c r="R158" i="2"/>
  <c r="L158" i="2" s="1"/>
  <c r="R157" i="2"/>
  <c r="L157" i="2" s="1"/>
  <c r="R156" i="2"/>
  <c r="R155" i="2"/>
  <c r="R154" i="2"/>
  <c r="R153" i="2"/>
  <c r="J153" i="2" s="1"/>
  <c r="R152" i="2"/>
  <c r="R151" i="2"/>
  <c r="M151" i="2" s="1"/>
  <c r="R150" i="2"/>
  <c r="R149" i="2"/>
  <c r="L149" i="2" s="1"/>
  <c r="R148" i="2"/>
  <c r="R147" i="2"/>
  <c r="L147" i="2" s="1"/>
  <c r="R146" i="2"/>
  <c r="N146" i="2" s="1"/>
  <c r="R145" i="2"/>
  <c r="R144" i="2"/>
  <c r="O144" i="2" s="1"/>
  <c r="R143" i="2"/>
  <c r="O143" i="2" s="1"/>
  <c r="R142" i="2"/>
  <c r="J142" i="2" s="1"/>
  <c r="R141" i="2"/>
  <c r="J141" i="2" s="1"/>
  <c r="R140" i="2"/>
  <c r="L140" i="2" s="1"/>
  <c r="R139" i="2"/>
  <c r="L139" i="2" s="1"/>
  <c r="R138" i="2"/>
  <c r="R137" i="2"/>
  <c r="R136" i="2"/>
  <c r="O136" i="2" s="1"/>
  <c r="R135" i="2"/>
  <c r="O135" i="2" s="1"/>
  <c r="R134" i="2"/>
  <c r="R133" i="2"/>
  <c r="R132" i="2"/>
  <c r="R131" i="2"/>
  <c r="R130" i="2"/>
  <c r="N130" i="2" s="1"/>
  <c r="R129" i="2"/>
  <c r="R128" i="2"/>
  <c r="K128" i="2" s="1"/>
  <c r="P128" i="2" s="1"/>
  <c r="R127" i="2"/>
  <c r="L127" i="2" s="1"/>
  <c r="R126" i="2"/>
  <c r="L126" i="2" s="1"/>
  <c r="R125" i="2"/>
  <c r="R124" i="2"/>
  <c r="K124" i="2" s="1"/>
  <c r="P124" i="2" s="1"/>
  <c r="R123" i="2"/>
  <c r="O123" i="2" s="1"/>
  <c r="R122" i="2"/>
  <c r="O122" i="2" s="1"/>
  <c r="R121" i="2"/>
  <c r="R120" i="2"/>
  <c r="K120" i="2" s="1"/>
  <c r="P120" i="2" s="1"/>
  <c r="R119" i="2"/>
  <c r="K119" i="2" s="1"/>
  <c r="R118" i="2"/>
  <c r="O118" i="2" s="1"/>
  <c r="R117" i="2"/>
  <c r="M117" i="2" s="1"/>
  <c r="R116" i="2"/>
  <c r="J116" i="2" s="1"/>
  <c r="R115" i="2"/>
  <c r="L115" i="2" s="1"/>
  <c r="R114" i="2"/>
  <c r="R113" i="2"/>
  <c r="R112" i="2"/>
  <c r="J112" i="2" s="1"/>
  <c r="R111" i="2"/>
  <c r="R110" i="2"/>
  <c r="M110" i="2" s="1"/>
  <c r="R109" i="2"/>
  <c r="K109" i="2" s="1"/>
  <c r="R108" i="2"/>
  <c r="R107" i="2"/>
  <c r="R106" i="2"/>
  <c r="M106" i="2" s="1"/>
  <c r="R105" i="2"/>
  <c r="J105" i="2" s="1"/>
  <c r="R104" i="2"/>
  <c r="R103" i="2"/>
  <c r="M103" i="2" s="1"/>
  <c r="R102" i="2"/>
  <c r="K102" i="2" s="1"/>
  <c r="R101" i="2"/>
  <c r="R100" i="2"/>
  <c r="O100" i="2" s="1"/>
  <c r="R99" i="2"/>
  <c r="R98" i="2"/>
  <c r="R97" i="2"/>
  <c r="O97" i="2" s="1"/>
  <c r="R96" i="2"/>
  <c r="N96" i="2" s="1"/>
  <c r="R95" i="2"/>
  <c r="R94" i="2"/>
  <c r="R93" i="2"/>
  <c r="R92" i="2"/>
  <c r="K92" i="2" s="1"/>
  <c r="P92" i="2" s="1"/>
  <c r="R91" i="2"/>
  <c r="R90" i="2"/>
  <c r="L90" i="2" s="1"/>
  <c r="R89" i="2"/>
  <c r="R88" i="2"/>
  <c r="R87" i="2"/>
  <c r="L87" i="2" s="1"/>
  <c r="R86" i="2"/>
  <c r="L86" i="2" s="1"/>
  <c r="R85" i="2"/>
  <c r="R84" i="2"/>
  <c r="N84" i="2" s="1"/>
  <c r="R83" i="2"/>
  <c r="N83" i="2" s="1"/>
  <c r="R82" i="2"/>
  <c r="O82" i="2" s="1"/>
  <c r="R81" i="2"/>
  <c r="R80" i="2"/>
  <c r="M80" i="2" s="1"/>
  <c r="R79" i="2"/>
  <c r="R78" i="2"/>
  <c r="R77" i="2"/>
  <c r="R76" i="2"/>
  <c r="R75" i="2"/>
  <c r="O75" i="2" s="1"/>
  <c r="R74" i="2"/>
  <c r="R73" i="2"/>
  <c r="N73" i="2" s="1"/>
  <c r="R72" i="2"/>
  <c r="M72" i="2" s="1"/>
  <c r="R71" i="2"/>
  <c r="O71" i="2" s="1"/>
  <c r="R70" i="2"/>
  <c r="O70" i="2" s="1"/>
  <c r="R69" i="2"/>
  <c r="N69" i="2" s="1"/>
  <c r="R68" i="2"/>
  <c r="L68" i="2" s="1"/>
  <c r="R67" i="2"/>
  <c r="N67" i="2" s="1"/>
  <c r="R66" i="2"/>
  <c r="R65" i="2"/>
  <c r="R64" i="2"/>
  <c r="R63" i="2"/>
  <c r="N63" i="2" s="1"/>
  <c r="R62" i="2"/>
  <c r="O62" i="2" s="1"/>
  <c r="R61" i="2"/>
  <c r="R60" i="2"/>
  <c r="L60" i="2" s="1"/>
  <c r="R59" i="2"/>
  <c r="R58" i="2"/>
  <c r="O58" i="2" s="1"/>
  <c r="R57" i="2"/>
  <c r="O57" i="2" s="1"/>
  <c r="R56" i="2"/>
  <c r="M56" i="2" s="1"/>
  <c r="R55" i="2"/>
  <c r="N55" i="2" s="1"/>
  <c r="R54" i="2"/>
  <c r="M54" i="2" s="1"/>
  <c r="R53" i="2"/>
  <c r="O53" i="2" s="1"/>
  <c r="R52" i="2"/>
  <c r="O52" i="2" s="1"/>
  <c r="R51" i="2"/>
  <c r="O51" i="2" s="1"/>
  <c r="R50" i="2"/>
  <c r="M50" i="2" s="1"/>
  <c r="R49" i="2"/>
  <c r="O49" i="2" s="1"/>
  <c r="R48" i="2"/>
  <c r="R47" i="2"/>
  <c r="K47" i="2" s="1"/>
  <c r="R46" i="2"/>
  <c r="O46" i="2" s="1"/>
  <c r="R45" i="2"/>
  <c r="O45" i="2" s="1"/>
  <c r="R44" i="2"/>
  <c r="K44" i="2" s="1"/>
  <c r="R43" i="2"/>
  <c r="J43" i="2" s="1"/>
  <c r="R42" i="2"/>
  <c r="O42" i="2" s="1"/>
  <c r="R41" i="2"/>
  <c r="N41" i="2" s="1"/>
  <c r="R40" i="2"/>
  <c r="K40" i="2" s="1"/>
  <c r="P40" i="2" s="1"/>
  <c r="R39" i="2"/>
  <c r="M39" i="2" s="1"/>
  <c r="R38" i="2"/>
  <c r="J38" i="2" s="1"/>
  <c r="R37" i="2"/>
  <c r="O37" i="2" s="1"/>
  <c r="R36" i="2"/>
  <c r="J36" i="2" s="1"/>
  <c r="R35" i="2"/>
  <c r="L35" i="2" s="1"/>
  <c r="R34" i="2"/>
  <c r="O34" i="2" s="1"/>
  <c r="R33" i="2"/>
  <c r="R32" i="2"/>
  <c r="J32" i="2" s="1"/>
  <c r="R31" i="2"/>
  <c r="N31" i="2" s="1"/>
  <c r="R30" i="2"/>
  <c r="J30" i="2" s="1"/>
  <c r="R29" i="2"/>
  <c r="R28" i="2"/>
  <c r="L28" i="2" s="1"/>
  <c r="R27" i="2"/>
  <c r="N27" i="2" s="1"/>
  <c r="R26" i="2"/>
  <c r="N26" i="2" s="1"/>
  <c r="R25" i="2"/>
  <c r="J25" i="2" s="1"/>
  <c r="R24" i="2"/>
  <c r="L24" i="2" s="1"/>
  <c r="R23" i="2"/>
  <c r="N23" i="2" s="1"/>
  <c r="R22" i="2"/>
  <c r="L22" i="2" s="1"/>
  <c r="R21" i="2"/>
  <c r="S20" i="2"/>
  <c r="S19" i="2"/>
  <c r="S18" i="2"/>
  <c r="I3" i="2"/>
  <c r="D6" i="3"/>
  <c r="D8" i="3"/>
  <c r="D7" i="3"/>
  <c r="B17" i="5" l="1" a="1"/>
  <c r="B17" i="5" s="1"/>
  <c r="E17" i="5" a="1"/>
  <c r="E17" i="5" s="1"/>
  <c r="G17" i="5" a="1"/>
  <c r="G17" i="5" s="1"/>
  <c r="J46" i="2"/>
  <c r="J44" i="2"/>
  <c r="J42" i="2"/>
  <c r="J40" i="2"/>
  <c r="J34" i="2"/>
  <c r="J28" i="2"/>
  <c r="J26" i="2"/>
  <c r="J24" i="2"/>
  <c r="J22" i="2"/>
  <c r="J45" i="2"/>
  <c r="J41" i="2"/>
  <c r="J39" i="2"/>
  <c r="J37" i="2"/>
  <c r="J35" i="2"/>
  <c r="J33" i="2"/>
  <c r="J31" i="2"/>
  <c r="J29" i="2"/>
  <c r="J27" i="2"/>
  <c r="J23" i="2"/>
  <c r="J21" i="2"/>
  <c r="H18" i="2" a="1"/>
  <c r="H18" i="2" s="1"/>
  <c r="H15" i="2" s="1"/>
  <c r="I9" i="5"/>
  <c r="D11" i="5" s="1"/>
  <c r="I19" i="5"/>
  <c r="I27" i="5"/>
  <c r="I35" i="5"/>
  <c r="I43" i="5"/>
  <c r="I51" i="5"/>
  <c r="D7" i="5"/>
  <c r="D10" i="5"/>
  <c r="I21" i="5"/>
  <c r="I29" i="5"/>
  <c r="I37" i="5"/>
  <c r="I45" i="5"/>
  <c r="I53" i="5"/>
  <c r="E7" i="5"/>
  <c r="I17" i="5"/>
  <c r="I22" i="5"/>
  <c r="I30" i="5"/>
  <c r="I38" i="5"/>
  <c r="I46" i="5"/>
  <c r="I54" i="5"/>
  <c r="I18" i="5"/>
  <c r="I25" i="5"/>
  <c r="I33" i="5"/>
  <c r="I41" i="5"/>
  <c r="I49" i="5"/>
  <c r="N85" i="2"/>
  <c r="N124" i="2"/>
  <c r="N167" i="2"/>
  <c r="O32" i="2"/>
  <c r="O39" i="2"/>
  <c r="O91" i="2"/>
  <c r="K24" i="2"/>
  <c r="P24" i="2" s="1"/>
  <c r="O22" i="2"/>
  <c r="M24" i="2"/>
  <c r="O26" i="2"/>
  <c r="J140" i="2"/>
  <c r="N155" i="2"/>
  <c r="K162" i="2"/>
  <c r="P162" i="2" s="1"/>
  <c r="O55" i="2"/>
  <c r="M104" i="2"/>
  <c r="O107" i="2"/>
  <c r="M49" i="2"/>
  <c r="L130" i="2"/>
  <c r="O50" i="2"/>
  <c r="J60" i="2"/>
  <c r="M100" i="2"/>
  <c r="N122" i="2"/>
  <c r="N162" i="2"/>
  <c r="M41" i="2"/>
  <c r="O63" i="2"/>
  <c r="L66" i="2"/>
  <c r="K76" i="2"/>
  <c r="P76" i="2" s="1"/>
  <c r="K104" i="2"/>
  <c r="P104" i="2" s="1"/>
  <c r="K117" i="2"/>
  <c r="P117" i="2" s="1"/>
  <c r="M161" i="2"/>
  <c r="J165" i="2"/>
  <c r="K125" i="2"/>
  <c r="P125" i="2" s="1"/>
  <c r="M165" i="2"/>
  <c r="M21" i="2"/>
  <c r="O31" i="2"/>
  <c r="L50" i="2"/>
  <c r="O87" i="2"/>
  <c r="M121" i="2"/>
  <c r="M125" i="2"/>
  <c r="K141" i="2"/>
  <c r="P141" i="2" s="1"/>
  <c r="K160" i="2"/>
  <c r="P160" i="2" s="1"/>
  <c r="N165" i="2"/>
  <c r="L129" i="2"/>
  <c r="L26" i="2"/>
  <c r="J75" i="2"/>
  <c r="J129" i="2"/>
  <c r="M129" i="2"/>
  <c r="K129" i="2"/>
  <c r="P129" i="2" s="1"/>
  <c r="K26" i="2"/>
  <c r="P26" i="2" s="1"/>
  <c r="M26" i="2"/>
  <c r="M34" i="2"/>
  <c r="K57" i="2"/>
  <c r="P57" i="2" s="1"/>
  <c r="M67" i="2"/>
  <c r="K81" i="2"/>
  <c r="P81" i="2" s="1"/>
  <c r="L118" i="2"/>
  <c r="N129" i="2"/>
  <c r="N138" i="2"/>
  <c r="J149" i="2"/>
  <c r="K39" i="2"/>
  <c r="P39" i="2" s="1"/>
  <c r="J124" i="2"/>
  <c r="N24" i="2"/>
  <c r="L39" i="2"/>
  <c r="O41" i="2"/>
  <c r="M47" i="2"/>
  <c r="K55" i="2"/>
  <c r="P55" i="2" s="1"/>
  <c r="K56" i="2"/>
  <c r="P56" i="2" s="1"/>
  <c r="M60" i="2"/>
  <c r="J71" i="2"/>
  <c r="L94" i="2"/>
  <c r="M96" i="2"/>
  <c r="N117" i="2"/>
  <c r="J123" i="2"/>
  <c r="J125" i="2"/>
  <c r="N125" i="2"/>
  <c r="K126" i="2"/>
  <c r="P126" i="2" s="1"/>
  <c r="M135" i="2"/>
  <c r="M136" i="2"/>
  <c r="K140" i="2"/>
  <c r="P140" i="2" s="1"/>
  <c r="M149" i="2"/>
  <c r="N151" i="2"/>
  <c r="M157" i="2"/>
  <c r="J161" i="2"/>
  <c r="J162" i="2"/>
  <c r="O162" i="2"/>
  <c r="K151" i="2"/>
  <c r="P151" i="2" s="1"/>
  <c r="J157" i="2"/>
  <c r="L151" i="2"/>
  <c r="N33" i="2"/>
  <c r="M40" i="2"/>
  <c r="M55" i="2"/>
  <c r="L58" i="2"/>
  <c r="L63" i="2"/>
  <c r="K67" i="2"/>
  <c r="P67" i="2" s="1"/>
  <c r="L78" i="2"/>
  <c r="L82" i="2"/>
  <c r="K84" i="2"/>
  <c r="P84" i="2" s="1"/>
  <c r="N105" i="2"/>
  <c r="J109" i="2"/>
  <c r="K112" i="2"/>
  <c r="P112" i="2" s="1"/>
  <c r="K122" i="2"/>
  <c r="P122" i="2" s="1"/>
  <c r="L123" i="2"/>
  <c r="N126" i="2"/>
  <c r="K139" i="2"/>
  <c r="P139" i="2" s="1"/>
  <c r="M146" i="2"/>
  <c r="N149" i="2"/>
  <c r="O151" i="2"/>
  <c r="N157" i="2"/>
  <c r="K161" i="2"/>
  <c r="P161" i="2" s="1"/>
  <c r="M25" i="2"/>
  <c r="L25" i="2"/>
  <c r="M36" i="2"/>
  <c r="K36" i="2"/>
  <c r="P36" i="2" s="1"/>
  <c r="N61" i="2"/>
  <c r="J88" i="2"/>
  <c r="M88" i="2"/>
  <c r="N35" i="2"/>
  <c r="O35" i="2"/>
  <c r="M35" i="2"/>
  <c r="L72" i="2"/>
  <c r="J72" i="2"/>
  <c r="L76" i="2"/>
  <c r="N76" i="2"/>
  <c r="M76" i="2"/>
  <c r="J76" i="2"/>
  <c r="J79" i="2"/>
  <c r="N98" i="2"/>
  <c r="O114" i="2"/>
  <c r="M114" i="2"/>
  <c r="K131" i="2"/>
  <c r="P131" i="2" s="1"/>
  <c r="O147" i="2"/>
  <c r="N147" i="2"/>
  <c r="M147" i="2"/>
  <c r="O150" i="2"/>
  <c r="J150" i="2"/>
  <c r="M150" i="2"/>
  <c r="K150" i="2"/>
  <c r="P150" i="2" s="1"/>
  <c r="O159" i="2"/>
  <c r="N159" i="2"/>
  <c r="M159" i="2"/>
  <c r="K159" i="2"/>
  <c r="P159" i="2" s="1"/>
  <c r="N22" i="2"/>
  <c r="M22" i="2"/>
  <c r="K25" i="2"/>
  <c r="P25" i="2" s="1"/>
  <c r="L32" i="2"/>
  <c r="N32" i="2"/>
  <c r="M32" i="2"/>
  <c r="N37" i="2"/>
  <c r="M37" i="2"/>
  <c r="O54" i="2"/>
  <c r="K54" i="2"/>
  <c r="P54" i="2" s="1"/>
  <c r="N59" i="2"/>
  <c r="O59" i="2"/>
  <c r="K59" i="2"/>
  <c r="P59" i="2" s="1"/>
  <c r="N75" i="2"/>
  <c r="L75" i="2"/>
  <c r="L80" i="2"/>
  <c r="J80" i="2"/>
  <c r="N91" i="2"/>
  <c r="M91" i="2"/>
  <c r="J91" i="2"/>
  <c r="L91" i="2"/>
  <c r="L92" i="2"/>
  <c r="N92" i="2"/>
  <c r="M92" i="2"/>
  <c r="J92" i="2"/>
  <c r="N107" i="2"/>
  <c r="M107" i="2"/>
  <c r="J107" i="2"/>
  <c r="L107" i="2"/>
  <c r="N118" i="2"/>
  <c r="M118" i="2"/>
  <c r="L128" i="2"/>
  <c r="O128" i="2"/>
  <c r="J128" i="2"/>
  <c r="N128" i="2"/>
  <c r="M128" i="2"/>
  <c r="O148" i="2"/>
  <c r="J148" i="2"/>
  <c r="K148" i="2"/>
  <c r="P148" i="2" s="1"/>
  <c r="L64" i="2"/>
  <c r="J64" i="2"/>
  <c r="M64" i="2"/>
  <c r="N79" i="2"/>
  <c r="L79" i="2"/>
  <c r="K79" i="2"/>
  <c r="P79" i="2" s="1"/>
  <c r="K93" i="2"/>
  <c r="P93" i="2" s="1"/>
  <c r="K113" i="2"/>
  <c r="P113" i="2" s="1"/>
  <c r="J113" i="2"/>
  <c r="O134" i="2"/>
  <c r="J134" i="2"/>
  <c r="O25" i="2"/>
  <c r="K35" i="2"/>
  <c r="P35" i="2" s="1"/>
  <c r="O36" i="2"/>
  <c r="K64" i="2"/>
  <c r="P64" i="2" s="1"/>
  <c r="N71" i="2"/>
  <c r="L71" i="2"/>
  <c r="K71" i="2"/>
  <c r="P71" i="2" s="1"/>
  <c r="O74" i="2"/>
  <c r="M79" i="2"/>
  <c r="K88" i="2"/>
  <c r="P88" i="2" s="1"/>
  <c r="N93" i="2"/>
  <c r="K108" i="2"/>
  <c r="P108" i="2" s="1"/>
  <c r="J108" i="2"/>
  <c r="O110" i="2"/>
  <c r="N113" i="2"/>
  <c r="N137" i="2"/>
  <c r="M137" i="2"/>
  <c r="O154" i="2"/>
  <c r="M166" i="2"/>
  <c r="O166" i="2"/>
  <c r="J166" i="2"/>
  <c r="K166" i="2"/>
  <c r="P166" i="2" s="1"/>
  <c r="N166" i="2"/>
  <c r="J138" i="2"/>
  <c r="L8" i="3"/>
  <c r="K138" i="2"/>
  <c r="P138" i="2" s="1"/>
  <c r="O155" i="2"/>
  <c r="O157" i="2"/>
  <c r="L167" i="2"/>
  <c r="K50" i="2"/>
  <c r="P50" i="2" s="1"/>
  <c r="K60" i="2"/>
  <c r="P60" i="2" s="1"/>
  <c r="K63" i="2"/>
  <c r="P63" i="2" s="1"/>
  <c r="K100" i="2"/>
  <c r="P100" i="2" s="1"/>
  <c r="J117" i="2"/>
  <c r="L125" i="2"/>
  <c r="M138" i="2"/>
  <c r="J146" i="2"/>
  <c r="K149" i="2"/>
  <c r="P149" i="2" s="1"/>
  <c r="N99" i="2"/>
  <c r="N111" i="2"/>
  <c r="K111" i="2"/>
  <c r="P111" i="2" s="1"/>
  <c r="J115" i="2"/>
  <c r="N164" i="2"/>
  <c r="O164" i="2"/>
  <c r="M164" i="2"/>
  <c r="L164" i="2"/>
  <c r="J164" i="2"/>
  <c r="N21" i="2"/>
  <c r="O24" i="2"/>
  <c r="N25" i="2"/>
  <c r="M31" i="2"/>
  <c r="K37" i="2"/>
  <c r="P37" i="2" s="1"/>
  <c r="O40" i="2"/>
  <c r="M42" i="2"/>
  <c r="K45" i="2"/>
  <c r="P45" i="2" s="1"/>
  <c r="L46" i="2"/>
  <c r="O47" i="2"/>
  <c r="K51" i="2"/>
  <c r="P51" i="2" s="1"/>
  <c r="J52" i="2"/>
  <c r="K53" i="2"/>
  <c r="P53" i="2" s="1"/>
  <c r="L54" i="2"/>
  <c r="M59" i="2"/>
  <c r="M63" i="2"/>
  <c r="O66" i="2"/>
  <c r="O67" i="2"/>
  <c r="M71" i="2"/>
  <c r="N72" i="2"/>
  <c r="K75" i="2"/>
  <c r="P75" i="2" s="1"/>
  <c r="O78" i="2"/>
  <c r="O79" i="2"/>
  <c r="N80" i="2"/>
  <c r="N81" i="2"/>
  <c r="L83" i="2"/>
  <c r="J84" i="2"/>
  <c r="K85" i="2"/>
  <c r="P85" i="2" s="1"/>
  <c r="L88" i="2"/>
  <c r="N88" i="2"/>
  <c r="J96" i="2"/>
  <c r="O98" i="2"/>
  <c r="K98" i="2"/>
  <c r="P98" i="2" s="1"/>
  <c r="J100" i="2"/>
  <c r="N103" i="2"/>
  <c r="J103" i="2"/>
  <c r="L104" i="2"/>
  <c r="O104" i="2"/>
  <c r="J104" i="2"/>
  <c r="L111" i="2"/>
  <c r="L114" i="2"/>
  <c r="N116" i="2"/>
  <c r="L124" i="2"/>
  <c r="O124" i="2"/>
  <c r="J136" i="2"/>
  <c r="N144" i="2"/>
  <c r="J144" i="2"/>
  <c r="N148" i="2"/>
  <c r="M148" i="2"/>
  <c r="L148" i="2"/>
  <c r="O156" i="2"/>
  <c r="J156" i="2"/>
  <c r="N95" i="2"/>
  <c r="O95" i="2"/>
  <c r="L120" i="2"/>
  <c r="O120" i="2"/>
  <c r="K152" i="2"/>
  <c r="P152" i="2" s="1"/>
  <c r="O21" i="2"/>
  <c r="M23" i="2"/>
  <c r="N42" i="2"/>
  <c r="M45" i="2"/>
  <c r="M51" i="2"/>
  <c r="M52" i="2"/>
  <c r="K68" i="2"/>
  <c r="P68" i="2" s="1"/>
  <c r="J83" i="2"/>
  <c r="M83" i="2"/>
  <c r="L84" i="2"/>
  <c r="M84" i="2"/>
  <c r="L95" i="2"/>
  <c r="L96" i="2"/>
  <c r="L97" i="2"/>
  <c r="J99" i="2"/>
  <c r="N109" i="2"/>
  <c r="J111" i="2"/>
  <c r="M111" i="2"/>
  <c r="N119" i="2"/>
  <c r="O119" i="2"/>
  <c r="M120" i="2"/>
  <c r="N136" i="2"/>
  <c r="L136" i="2"/>
  <c r="L137" i="2"/>
  <c r="O137" i="2"/>
  <c r="J137" i="2"/>
  <c r="N139" i="2"/>
  <c r="O139" i="2"/>
  <c r="M139" i="2"/>
  <c r="N140" i="2"/>
  <c r="O140" i="2"/>
  <c r="M140" i="2"/>
  <c r="J145" i="2"/>
  <c r="O145" i="2"/>
  <c r="N145" i="2"/>
  <c r="K146" i="2"/>
  <c r="P146" i="2" s="1"/>
  <c r="O146" i="2"/>
  <c r="O158" i="2"/>
  <c r="J158" i="2"/>
  <c r="N158" i="2"/>
  <c r="M158" i="2"/>
  <c r="N163" i="2"/>
  <c r="O163" i="2"/>
  <c r="M163" i="2"/>
  <c r="L163" i="2"/>
  <c r="K89" i="2"/>
  <c r="P89" i="2" s="1"/>
  <c r="J95" i="2"/>
  <c r="J101" i="2"/>
  <c r="L101" i="2"/>
  <c r="N115" i="2"/>
  <c r="K115" i="2"/>
  <c r="P115" i="2" s="1"/>
  <c r="M27" i="2"/>
  <c r="M28" i="2"/>
  <c r="M38" i="2"/>
  <c r="P44" i="2"/>
  <c r="N45" i="2"/>
  <c r="J67" i="2"/>
  <c r="L67" i="2"/>
  <c r="J68" i="2"/>
  <c r="M68" i="2"/>
  <c r="K72" i="2"/>
  <c r="P72" i="2" s="1"/>
  <c r="M75" i="2"/>
  <c r="K80" i="2"/>
  <c r="P80" i="2" s="1"/>
  <c r="O83" i="2"/>
  <c r="N87" i="2"/>
  <c r="M87" i="2"/>
  <c r="J87" i="2"/>
  <c r="N89" i="2"/>
  <c r="M95" i="2"/>
  <c r="K96" i="2"/>
  <c r="P96" i="2" s="1"/>
  <c r="J97" i="2"/>
  <c r="M99" i="2"/>
  <c r="L100" i="2"/>
  <c r="N100" i="2"/>
  <c r="L108" i="2"/>
  <c r="O108" i="2"/>
  <c r="O111" i="2"/>
  <c r="O115" i="2"/>
  <c r="J119" i="2"/>
  <c r="J120" i="2"/>
  <c r="N120" i="2"/>
  <c r="M124" i="2"/>
  <c r="K137" i="2"/>
  <c r="P137" i="2" s="1"/>
  <c r="K164" i="2"/>
  <c r="P164" i="2" s="1"/>
  <c r="L160" i="2"/>
  <c r="N161" i="2"/>
  <c r="L138" i="2"/>
  <c r="L150" i="2"/>
  <c r="J154" i="2"/>
  <c r="L159" i="2"/>
  <c r="J160" i="2"/>
  <c r="M160" i="2"/>
  <c r="O161" i="2"/>
  <c r="L166" i="2"/>
  <c r="N43" i="2"/>
  <c r="J65" i="2"/>
  <c r="O65" i="2"/>
  <c r="M65" i="2"/>
  <c r="L65" i="2"/>
  <c r="J77" i="2"/>
  <c r="O77" i="2"/>
  <c r="M77" i="2"/>
  <c r="L77" i="2"/>
  <c r="O23" i="2"/>
  <c r="K27" i="2"/>
  <c r="P27" i="2" s="1"/>
  <c r="O33" i="2"/>
  <c r="N34" i="2"/>
  <c r="N38" i="2"/>
  <c r="M46" i="2"/>
  <c r="N47" i="2"/>
  <c r="L47" i="2"/>
  <c r="P47" i="2"/>
  <c r="J47" i="2"/>
  <c r="L52" i="2"/>
  <c r="N52" i="2"/>
  <c r="L56" i="2"/>
  <c r="O56" i="2"/>
  <c r="N56" i="2"/>
  <c r="M58" i="2"/>
  <c r="K61" i="2"/>
  <c r="P61" i="2" s="1"/>
  <c r="L70" i="2"/>
  <c r="L74" i="2"/>
  <c r="J81" i="2"/>
  <c r="O81" i="2"/>
  <c r="M81" i="2"/>
  <c r="L81" i="2"/>
  <c r="J90" i="2"/>
  <c r="O90" i="2"/>
  <c r="N90" i="2"/>
  <c r="M90" i="2"/>
  <c r="K90" i="2"/>
  <c r="P90" i="2" s="1"/>
  <c r="P102" i="2"/>
  <c r="J102" i="2"/>
  <c r="O102" i="2"/>
  <c r="N102" i="2"/>
  <c r="M102" i="2"/>
  <c r="L102" i="2"/>
  <c r="J106" i="2"/>
  <c r="L106" i="2"/>
  <c r="K106" i="2"/>
  <c r="P106" i="2" s="1"/>
  <c r="O106" i="2"/>
  <c r="N106" i="2"/>
  <c r="L112" i="2"/>
  <c r="O112" i="2"/>
  <c r="N112" i="2"/>
  <c r="M112" i="2"/>
  <c r="L48" i="2"/>
  <c r="N48" i="2"/>
  <c r="L27" i="2"/>
  <c r="K28" i="2"/>
  <c r="P28" i="2" s="1"/>
  <c r="K29" i="2"/>
  <c r="P29" i="2" s="1"/>
  <c r="O38" i="2"/>
  <c r="N39" i="2"/>
  <c r="L40" i="2"/>
  <c r="N40" i="2"/>
  <c r="L41" i="2"/>
  <c r="J48" i="2"/>
  <c r="K49" i="2"/>
  <c r="P49" i="2" s="1"/>
  <c r="N51" i="2"/>
  <c r="L51" i="2"/>
  <c r="J51" i="2"/>
  <c r="N127" i="2"/>
  <c r="M127" i="2"/>
  <c r="K127" i="2"/>
  <c r="P127" i="2" s="1"/>
  <c r="J127" i="2"/>
  <c r="O127" i="2"/>
  <c r="O142" i="2"/>
  <c r="N142" i="2"/>
  <c r="M142" i="2"/>
  <c r="L142" i="2"/>
  <c r="K142" i="2"/>
  <c r="P142" i="2" s="1"/>
  <c r="N46" i="2"/>
  <c r="J61" i="2"/>
  <c r="O61" i="2"/>
  <c r="M61" i="2"/>
  <c r="L61" i="2"/>
  <c r="J70" i="2"/>
  <c r="N70" i="2"/>
  <c r="M70" i="2"/>
  <c r="K70" i="2"/>
  <c r="P70" i="2" s="1"/>
  <c r="J74" i="2"/>
  <c r="N74" i="2"/>
  <c r="M74" i="2"/>
  <c r="K74" i="2"/>
  <c r="P74" i="2" s="1"/>
  <c r="J86" i="2"/>
  <c r="O86" i="2"/>
  <c r="N86" i="2"/>
  <c r="M86" i="2"/>
  <c r="K86" i="2"/>
  <c r="P86" i="2" s="1"/>
  <c r="K21" i="2"/>
  <c r="P21" i="2" s="1"/>
  <c r="O27" i="2"/>
  <c r="N28" i="2"/>
  <c r="M29" i="2"/>
  <c r="L30" i="2"/>
  <c r="K31" i="2"/>
  <c r="P31" i="2" s="1"/>
  <c r="L36" i="2"/>
  <c r="N36" i="2"/>
  <c r="L37" i="2"/>
  <c r="K42" i="2"/>
  <c r="P42" i="2" s="1"/>
  <c r="K43" i="2"/>
  <c r="P43" i="2" s="1"/>
  <c r="M44" i="2"/>
  <c r="K48" i="2"/>
  <c r="P48" i="2" s="1"/>
  <c r="N49" i="2"/>
  <c r="J50" i="2"/>
  <c r="N50" i="2"/>
  <c r="M53" i="2"/>
  <c r="J56" i="2"/>
  <c r="N57" i="2"/>
  <c r="J66" i="2"/>
  <c r="N66" i="2"/>
  <c r="M66" i="2"/>
  <c r="K66" i="2"/>
  <c r="P66" i="2" s="1"/>
  <c r="J78" i="2"/>
  <c r="N78" i="2"/>
  <c r="M78" i="2"/>
  <c r="K78" i="2"/>
  <c r="P78" i="2" s="1"/>
  <c r="L116" i="2"/>
  <c r="M116" i="2"/>
  <c r="K116" i="2"/>
  <c r="P116" i="2" s="1"/>
  <c r="O116" i="2"/>
  <c r="N132" i="2"/>
  <c r="O132" i="2"/>
  <c r="M132" i="2"/>
  <c r="L132" i="2"/>
  <c r="K132" i="2"/>
  <c r="P132" i="2" s="1"/>
  <c r="J132" i="2"/>
  <c r="L21" i="2"/>
  <c r="K22" i="2"/>
  <c r="P22" i="2" s="1"/>
  <c r="O28" i="2"/>
  <c r="N29" i="2"/>
  <c r="M30" i="2"/>
  <c r="L31" i="2"/>
  <c r="K32" i="2"/>
  <c r="P32" i="2" s="1"/>
  <c r="K33" i="2"/>
  <c r="P33" i="2" s="1"/>
  <c r="K41" i="2"/>
  <c r="P41" i="2" s="1"/>
  <c r="L42" i="2"/>
  <c r="L43" i="2"/>
  <c r="O44" i="2"/>
  <c r="L45" i="2"/>
  <c r="M48" i="2"/>
  <c r="K52" i="2"/>
  <c r="P52" i="2" s="1"/>
  <c r="N53" i="2"/>
  <c r="J54" i="2"/>
  <c r="N54" i="2"/>
  <c r="L62" i="2"/>
  <c r="K69" i="2"/>
  <c r="P69" i="2" s="1"/>
  <c r="K73" i="2"/>
  <c r="P73" i="2" s="1"/>
  <c r="J82" i="2"/>
  <c r="N82" i="2"/>
  <c r="M82" i="2"/>
  <c r="K82" i="2"/>
  <c r="P82" i="2" s="1"/>
  <c r="L133" i="2"/>
  <c r="N133" i="2"/>
  <c r="M133" i="2"/>
  <c r="K133" i="2"/>
  <c r="P133" i="2" s="1"/>
  <c r="O133" i="2"/>
  <c r="J133" i="2"/>
  <c r="L29" i="2"/>
  <c r="K30" i="2"/>
  <c r="P30" i="2" s="1"/>
  <c r="J58" i="2"/>
  <c r="N58" i="2"/>
  <c r="K58" i="2"/>
  <c r="P58" i="2" s="1"/>
  <c r="K23" i="2"/>
  <c r="P23" i="2" s="1"/>
  <c r="O29" i="2"/>
  <c r="N30" i="2"/>
  <c r="L33" i="2"/>
  <c r="K34" i="2"/>
  <c r="P34" i="2" s="1"/>
  <c r="K38" i="2"/>
  <c r="P38" i="2" s="1"/>
  <c r="M43" i="2"/>
  <c r="O48" i="2"/>
  <c r="J49" i="2"/>
  <c r="L49" i="2"/>
  <c r="J57" i="2"/>
  <c r="M57" i="2"/>
  <c r="L57" i="2"/>
  <c r="K65" i="2"/>
  <c r="P65" i="2" s="1"/>
  <c r="K77" i="2"/>
  <c r="P77" i="2" s="1"/>
  <c r="L23" i="2"/>
  <c r="O30" i="2"/>
  <c r="M33" i="2"/>
  <c r="L34" i="2"/>
  <c r="L38" i="2"/>
  <c r="O43" i="2"/>
  <c r="L44" i="2"/>
  <c r="N44" i="2"/>
  <c r="K46" i="2"/>
  <c r="P46" i="2" s="1"/>
  <c r="J53" i="2"/>
  <c r="L53" i="2"/>
  <c r="J62" i="2"/>
  <c r="N62" i="2"/>
  <c r="M62" i="2"/>
  <c r="K62" i="2"/>
  <c r="P62" i="2" s="1"/>
  <c r="N65" i="2"/>
  <c r="J69" i="2"/>
  <c r="O69" i="2"/>
  <c r="M69" i="2"/>
  <c r="L69" i="2"/>
  <c r="J73" i="2"/>
  <c r="O73" i="2"/>
  <c r="M73" i="2"/>
  <c r="L73" i="2"/>
  <c r="N77" i="2"/>
  <c r="J94" i="2"/>
  <c r="O94" i="2"/>
  <c r="N94" i="2"/>
  <c r="M94" i="2"/>
  <c r="K94" i="2"/>
  <c r="P94" i="2" s="1"/>
  <c r="O101" i="2"/>
  <c r="N101" i="2"/>
  <c r="M101" i="2"/>
  <c r="K101" i="2"/>
  <c r="P101" i="2" s="1"/>
  <c r="M105" i="2"/>
  <c r="L105" i="2"/>
  <c r="K105" i="2"/>
  <c r="P105" i="2" s="1"/>
  <c r="O105" i="2"/>
  <c r="J55" i="2"/>
  <c r="J59" i="2"/>
  <c r="N60" i="2"/>
  <c r="J63" i="2"/>
  <c r="N64" i="2"/>
  <c r="N68" i="2"/>
  <c r="L85" i="2"/>
  <c r="L89" i="2"/>
  <c r="L93" i="2"/>
  <c r="M97" i="2"/>
  <c r="L98" i="2"/>
  <c r="K99" i="2"/>
  <c r="P99" i="2" s="1"/>
  <c r="M108" i="2"/>
  <c r="L109" i="2"/>
  <c r="K110" i="2"/>
  <c r="P110" i="2" s="1"/>
  <c r="J114" i="2"/>
  <c r="L119" i="2"/>
  <c r="K121" i="2"/>
  <c r="P121" i="2" s="1"/>
  <c r="J135" i="2"/>
  <c r="L135" i="2"/>
  <c r="K135" i="2"/>
  <c r="P135" i="2" s="1"/>
  <c r="L153" i="2"/>
  <c r="O153" i="2"/>
  <c r="N153" i="2"/>
  <c r="M153" i="2"/>
  <c r="K153" i="2"/>
  <c r="P153" i="2" s="1"/>
  <c r="O60" i="2"/>
  <c r="O64" i="2"/>
  <c r="O68" i="2"/>
  <c r="O72" i="2"/>
  <c r="O76" i="2"/>
  <c r="O80" i="2"/>
  <c r="O84" i="2"/>
  <c r="M85" i="2"/>
  <c r="O88" i="2"/>
  <c r="M89" i="2"/>
  <c r="O92" i="2"/>
  <c r="M93" i="2"/>
  <c r="O96" i="2"/>
  <c r="N97" i="2"/>
  <c r="M98" i="2"/>
  <c r="L99" i="2"/>
  <c r="N108" i="2"/>
  <c r="M109" i="2"/>
  <c r="L110" i="2"/>
  <c r="O117" i="2"/>
  <c r="M119" i="2"/>
  <c r="L121" i="2"/>
  <c r="L122" i="2"/>
  <c r="M123" i="2"/>
  <c r="J130" i="2"/>
  <c r="O130" i="2"/>
  <c r="M130" i="2"/>
  <c r="N134" i="2"/>
  <c r="J152" i="2"/>
  <c r="K83" i="2"/>
  <c r="P83" i="2" s="1"/>
  <c r="O85" i="2"/>
  <c r="K87" i="2"/>
  <c r="P87" i="2" s="1"/>
  <c r="O89" i="2"/>
  <c r="K91" i="2"/>
  <c r="P91" i="2" s="1"/>
  <c r="O93" i="2"/>
  <c r="K95" i="2"/>
  <c r="P95" i="2" s="1"/>
  <c r="O99" i="2"/>
  <c r="K103" i="2"/>
  <c r="P103" i="2" s="1"/>
  <c r="O109" i="2"/>
  <c r="N110" i="2"/>
  <c r="L113" i="2"/>
  <c r="K114" i="2"/>
  <c r="P114" i="2" s="1"/>
  <c r="J118" i="2"/>
  <c r="P119" i="2"/>
  <c r="N121" i="2"/>
  <c r="J126" i="2"/>
  <c r="O126" i="2"/>
  <c r="M126" i="2"/>
  <c r="M156" i="2"/>
  <c r="L55" i="2"/>
  <c r="L59" i="2"/>
  <c r="J85" i="2"/>
  <c r="J89" i="2"/>
  <c r="J93" i="2"/>
  <c r="J98" i="2"/>
  <c r="L103" i="2"/>
  <c r="P109" i="2"/>
  <c r="M113" i="2"/>
  <c r="J122" i="2"/>
  <c r="M122" i="2"/>
  <c r="N123" i="2"/>
  <c r="K123" i="2"/>
  <c r="P123" i="2" s="1"/>
  <c r="M134" i="2"/>
  <c r="L134" i="2"/>
  <c r="K134" i="2"/>
  <c r="P134" i="2" s="1"/>
  <c r="N152" i="2"/>
  <c r="O152" i="2"/>
  <c r="M152" i="2"/>
  <c r="L152" i="2"/>
  <c r="J110" i="2"/>
  <c r="O121" i="2"/>
  <c r="J131" i="2"/>
  <c r="O131" i="2"/>
  <c r="N131" i="2"/>
  <c r="M131" i="2"/>
  <c r="L131" i="2"/>
  <c r="J143" i="2"/>
  <c r="N143" i="2"/>
  <c r="M143" i="2"/>
  <c r="L143" i="2"/>
  <c r="K143" i="2"/>
  <c r="P143" i="2" s="1"/>
  <c r="N156" i="2"/>
  <c r="L156" i="2"/>
  <c r="K156" i="2"/>
  <c r="P156" i="2" s="1"/>
  <c r="K97" i="2"/>
  <c r="P97" i="2" s="1"/>
  <c r="O103" i="2"/>
  <c r="N104" i="2"/>
  <c r="K107" i="2"/>
  <c r="P107" i="2" s="1"/>
  <c r="O113" i="2"/>
  <c r="N114" i="2"/>
  <c r="M115" i="2"/>
  <c r="L117" i="2"/>
  <c r="K118" i="2"/>
  <c r="P118" i="2" s="1"/>
  <c r="J121" i="2"/>
  <c r="K130" i="2"/>
  <c r="P130" i="2" s="1"/>
  <c r="N135" i="2"/>
  <c r="L141" i="2"/>
  <c r="O141" i="2"/>
  <c r="N141" i="2"/>
  <c r="M141" i="2"/>
  <c r="L145" i="2"/>
  <c r="M145" i="2"/>
  <c r="K145" i="2"/>
  <c r="P145" i="2" s="1"/>
  <c r="J155" i="2"/>
  <c r="O125" i="2"/>
  <c r="O129" i="2"/>
  <c r="O138" i="2"/>
  <c r="J147" i="2"/>
  <c r="O149" i="2"/>
  <c r="N150" i="2"/>
  <c r="K154" i="2"/>
  <c r="P154" i="2" s="1"/>
  <c r="O160" i="2"/>
  <c r="K167" i="2"/>
  <c r="P167" i="2" s="1"/>
  <c r="J167" i="2"/>
  <c r="O167" i="2"/>
  <c r="K144" i="2"/>
  <c r="P144" i="2" s="1"/>
  <c r="L154" i="2"/>
  <c r="K155" i="2"/>
  <c r="P155" i="2" s="1"/>
  <c r="J159" i="2"/>
  <c r="B15" i="3"/>
  <c r="D15" i="3" s="1"/>
  <c r="D16" i="3" s="1"/>
  <c r="J139" i="2"/>
  <c r="L144" i="2"/>
  <c r="M154" i="2"/>
  <c r="L155" i="2"/>
  <c r="K163" i="2"/>
  <c r="P163" i="2" s="1"/>
  <c r="J163" i="2"/>
  <c r="O165" i="2"/>
  <c r="L165" i="2"/>
  <c r="K165" i="2"/>
  <c r="P165" i="2" s="1"/>
  <c r="L5" i="3"/>
  <c r="G10" i="5"/>
  <c r="G11" i="5" s="1"/>
  <c r="K136" i="2"/>
  <c r="P136" i="2" s="1"/>
  <c r="M144" i="2"/>
  <c r="L146" i="2"/>
  <c r="K147" i="2"/>
  <c r="P147" i="2" s="1"/>
  <c r="J151" i="2"/>
  <c r="N154" i="2"/>
  <c r="M155" i="2"/>
  <c r="K157" i="2"/>
  <c r="P157" i="2" s="1"/>
  <c r="K158" i="2"/>
  <c r="P158" i="2" s="1"/>
  <c r="M162" i="2"/>
  <c r="I10" i="5"/>
  <c r="C10" i="5" s="1"/>
  <c r="C11" i="5" s="1"/>
  <c r="E10" i="5"/>
  <c r="E11" i="5" s="1"/>
  <c r="I24" i="5"/>
  <c r="I32" i="5"/>
  <c r="I40" i="5"/>
  <c r="I48" i="5"/>
  <c r="I56" i="5"/>
  <c r="F10" i="5"/>
  <c r="F11" i="5" s="1"/>
  <c r="I23" i="5"/>
  <c r="I31" i="5"/>
  <c r="I39" i="5"/>
  <c r="I47" i="5"/>
  <c r="I55" i="5"/>
  <c r="I20" i="5"/>
  <c r="I28" i="5"/>
  <c r="I36" i="5"/>
  <c r="I44" i="5"/>
  <c r="I52" i="5"/>
  <c r="I26" i="5"/>
  <c r="I34" i="5"/>
  <c r="I42" i="5"/>
  <c r="M8" i="3" l="1"/>
  <c r="B16" i="3"/>
  <c r="L6" i="3"/>
  <c r="M7" i="3" s="1"/>
  <c r="L7" i="3" l="1"/>
  <c r="B18" i="2" a="1"/>
  <c r="B18" i="2" l="1"/>
  <c r="B15" i="2"/>
  <c r="L10" i="3"/>
  <c r="M10" i="3" s="1"/>
  <c r="L9" i="3"/>
  <c r="M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<sst xmlns="http://schemas.openxmlformats.org/spreadsheetml/2006/main" count="123" uniqueCount="90">
  <si>
    <t>ID Cliente</t>
  </si>
  <si>
    <t>Nombre Cliente</t>
  </si>
  <si>
    <t>Tipo de Documento</t>
  </si>
  <si>
    <t>Fecha Vencimiento</t>
  </si>
  <si>
    <t>Entregado</t>
  </si>
  <si>
    <t>Pendiente</t>
  </si>
  <si>
    <t>Días para Vencer</t>
  </si>
  <si>
    <t>Etiquetas de fila</t>
  </si>
  <si>
    <t>Total general</t>
  </si>
  <si>
    <t>Estado_vigencia</t>
  </si>
  <si>
    <t>Alerta</t>
  </si>
  <si>
    <t>Vencido</t>
  </si>
  <si>
    <t>Vigente</t>
  </si>
  <si>
    <t>Cuenta de Nombre Cliente</t>
  </si>
  <si>
    <t>Estado de entrega</t>
  </si>
  <si>
    <t>Estatus</t>
  </si>
  <si>
    <t>Lista de estado de entrega</t>
  </si>
  <si>
    <t>Lista de status de usuario</t>
  </si>
  <si>
    <t>Activo</t>
  </si>
  <si>
    <t>Inactivo</t>
  </si>
  <si>
    <t>Estatus Cliente</t>
  </si>
  <si>
    <t>TABLA PARA TARJETAS DE DASHBOARD</t>
  </si>
  <si>
    <t>DOCUMENTOS COMPLETOS (ENTREGADO Y VIGENTE)</t>
  </si>
  <si>
    <t>DOCUMENTOS PARCIALES (No cumple con vigencia o con entregado)</t>
  </si>
  <si>
    <t>DOCUMENTOS TOTALES</t>
  </si>
  <si>
    <t>Formulario "Conozca a su Cliente Persona Jurídica o Persona Natural"</t>
  </si>
  <si>
    <t>Fotocopia de la Escritura de Constitución, Modificaciones al pacto social de la entidad debidamente inscrita en el Registro de Comercio.</t>
  </si>
  <si>
    <t>Fotocopia de la Escritura de Constitución y Modificaciones al pacto social de la entidad debidamente apostillada (en caso fuera extranjera)</t>
  </si>
  <si>
    <t>Fotocopia de credencial vigente, debidamente inscrita en el Registro de Comercio del Representante o del Apoderado</t>
  </si>
  <si>
    <t>Fotocopia de Tarjeta de Identificación Tributaria de la Entidad (NIT)</t>
  </si>
  <si>
    <t>Fotocopia de Registro de Contribuyente de la Entidad (NRC)</t>
  </si>
  <si>
    <t>Original o fotocopia de Comprobante de Domicilio de la Entidad (Recibo de Agua, Luz o Teléfono con antigüedad no mayor a 6 meses)</t>
  </si>
  <si>
    <t>Fotocopia de Tarjeta de Identificación Tributaria (NIT) del Representante Legal o Apoderado (Extranjeros)</t>
  </si>
  <si>
    <t>Fotocopia de Documento Unico de Identidad (DUI) vigente y legible Pasaporte o Carnet de Residente del Representante Legal</t>
  </si>
  <si>
    <t>Fotocopia de poder otorgado a favor de la persona compareciente a la comprar o servicio solicitado (cuando aplique)</t>
  </si>
  <si>
    <t>Solicitud de Crédito</t>
  </si>
  <si>
    <t>Oferta de Servicios firmada</t>
  </si>
  <si>
    <t>Contratos firmados</t>
  </si>
  <si>
    <t>Pagaré</t>
  </si>
  <si>
    <t>MONITOREO DE EXPEDIENTES  ·  STYBA</t>
  </si>
  <si>
    <t>Fecha de corte</t>
  </si>
  <si>
    <t>Control de documentación de clientes – vigencias, entregas y cumplimiento</t>
  </si>
  <si>
    <t>ESTADO DE VIGENCIA</t>
  </si>
  <si>
    <t>TIPO DE DOCUMENTO</t>
  </si>
  <si>
    <t>RANGO DE DÍAS</t>
  </si>
  <si>
    <t>(Todos)</t>
  </si>
  <si>
    <t>Vencidos y por vencer (≤ 30 días) de clientes activos, del más urgente al menos urgente.</t>
  </si>
  <si>
    <t>Documentos con estado "Pendiente" de clientes activos.</t>
  </si>
  <si>
    <t>Cliente</t>
  </si>
  <si>
    <t>Documento</t>
  </si>
  <si>
    <t>Días</t>
  </si>
  <si>
    <t>Estado</t>
  </si>
  <si>
    <t>Datos en vivo desde Tabla1 (DATA) y TablaClientes (CLIENTES).</t>
  </si>
  <si>
    <t>FICHA DE CLIENTE</t>
  </si>
  <si>
    <t>Expediente completo de un cliente: avance, vencimientos y documentos pendientes</t>
  </si>
  <si>
    <t>SELECCIONE EL CLIENTE  ▼</t>
  </si>
  <si>
    <t>ESTATUS</t>
  </si>
  <si>
    <t>PRÓXIMO VENCIMIENTO</t>
  </si>
  <si>
    <t>AVANCE DEL EXPEDIENTE</t>
  </si>
  <si>
    <t>ENTREGADOS</t>
  </si>
  <si>
    <t>PENDIENTES</t>
  </si>
  <si>
    <t>VENCIDOS</t>
  </si>
  <si>
    <t>POR VENCER ≤30 D</t>
  </si>
  <si>
    <t>DOCUMENTOS DEL EXPEDIENTE</t>
  </si>
  <si>
    <t>#</t>
  </si>
  <si>
    <t>Entrega</t>
  </si>
  <si>
    <t>Vigencia</t>
  </si>
  <si>
    <t>Vence</t>
  </si>
  <si>
    <t>Filtro Estado</t>
  </si>
  <si>
    <t>Filtro Documento</t>
  </si>
  <si>
    <t>Filtro Días</t>
  </si>
  <si>
    <t>Máx. días</t>
  </si>
  <si>
    <t>Filtro Estatus</t>
  </si>
  <si>
    <t>Criterio documento</t>
  </si>
  <si>
    <t>Lista clientes (Ficha)</t>
  </si>
  <si>
    <t>KPIs DASHBOARD (alimentan las tarjetas – no borrar)</t>
  </si>
  <si>
    <t>Clientes activos</t>
  </si>
  <si>
    <t>Vencidos</t>
  </si>
  <si>
    <t>Documentos (clientes activos)</t>
  </si>
  <si>
    <t>≤ 7 días</t>
  </si>
  <si>
    <t>Documentos completos</t>
  </si>
  <si>
    <t>≤ 15 días</t>
  </si>
  <si>
    <t>% Cumplimiento</t>
  </si>
  <si>
    <t>≤ 30 días</t>
  </si>
  <si>
    <t>Pendientes de entrega</t>
  </si>
  <si>
    <t>Por vencer (≤30 días)</t>
  </si>
  <si>
    <t>▼ Filtros: Estado y Rango de días aplican a "Revisar por vigencia"; Tipo de documento aplica a las 3 listas</t>
  </si>
  <si>
    <t>Si</t>
  </si>
  <si>
    <t>N/A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</si>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</sst>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65" formatCode="dd/mm/yyyy"/>
  </numFmts>
  <fonts count="31">
    <font>
      <sz val="11"/>
      <color theme="1"/>
      <name val="Aptos Narrow"/>
      <family val="2"/>
      <scheme val="minor"/>
    </font>
    <font>
      <sz val="11"/>
      <color rgb="FF1F1F1F"/>
      <name val="Arial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F3F4F6"/>
      <name val="Arial"/>
      <family val="2"/>
    </font>
    <font>
      <b/>
      <sz val="10"/>
      <color rgb="FFF3F4F6"/>
      <name val="Arial"/>
      <family val="2"/>
    </font>
    <font>
      <sz val="9"/>
      <color rgb="FF9CA3AF"/>
      <name val="Arial"/>
      <family val="2"/>
    </font>
    <font>
      <i/>
      <sz val="9"/>
      <color rgb="FF9CA3AF"/>
      <name val="Arial"/>
      <family val="2"/>
    </font>
    <font>
      <b/>
      <sz val="8"/>
      <color rgb="FF9CA3AF"/>
      <name val="Arial"/>
      <family val="2"/>
    </font>
    <font>
      <b/>
      <sz val="22"/>
      <color rgb="FFF3F4F6"/>
      <name val="Arial Narrow"/>
      <family val="2"/>
    </font>
    <font>
      <sz val="10"/>
      <color rgb="FF9CA3AF"/>
      <name val="Arial"/>
      <family val="2"/>
    </font>
    <font>
      <b/>
      <sz val="12"/>
      <color rgb="FFF3F4F6"/>
      <name val="Arial Narrow"/>
      <family val="2"/>
    </font>
    <font>
      <b/>
      <sz val="9"/>
      <color rgb="FF9CA3AF"/>
      <name val="Arial"/>
      <family val="2"/>
    </font>
    <font>
      <b/>
      <sz val="11"/>
      <color rgb="FFF3F4F6"/>
      <name val="Arial"/>
      <family val="2"/>
    </font>
    <font>
      <b/>
      <sz val="10"/>
      <color rgb="FFFFFFFF"/>
      <name val="Arial"/>
      <family val="2"/>
    </font>
    <font>
      <b/>
      <sz val="26"/>
      <color rgb="FF34D399"/>
      <name val="Arial Narrow"/>
      <family val="2"/>
    </font>
    <font>
      <b/>
      <sz val="22"/>
      <color rgb="FFFB923C"/>
      <name val="Arial Narrow"/>
      <family val="2"/>
    </font>
    <font>
      <b/>
      <sz val="22"/>
      <color rgb="FFF87171"/>
      <name val="Arial Narrow"/>
      <family val="2"/>
    </font>
    <font>
      <b/>
      <sz val="22"/>
      <color rgb="FFFBBF24"/>
      <name val="Arial Narrow"/>
      <family val="2"/>
    </font>
    <font>
      <b/>
      <sz val="22"/>
      <color rgb="FFF3F4F6"/>
      <name val="Arial Narrow"/>
      <family val="2"/>
    </font>
    <font>
      <sz val="12"/>
      <color rgb="FFF0841A"/>
      <name val="Arial"/>
      <family val="2"/>
    </font>
    <font>
      <sz val="8"/>
      <color rgb="FF0F1115"/>
      <name val="Arial"/>
      <family val="2"/>
    </font>
    <font>
      <b/>
      <sz val="12"/>
      <color rgb="FFFFFFFF"/>
      <name val="Arial"/>
      <family val="2"/>
    </font>
    <font>
      <sz val="10"/>
      <color rgb="FFFFFFFF"/>
      <name val="Arial"/>
      <family val="2"/>
    </font>
    <font>
      <sz val="10"/>
      <color theme="1"/>
      <name val="Arial Unicode MS"/>
    </font>
    <font>
      <sz val="11"/>
      <color theme="0"/>
      <name val="Aptos Narrow"/>
      <family val="2"/>
      <scheme val="minor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0841A"/>
        <bgColor indexed="64"/>
      </patternFill>
    </fill>
    <fill>
      <patternFill patternType="solid">
        <fgColor rgb="FF1F2937"/>
        <bgColor indexed="64"/>
      </patternFill>
    </fill>
    <fill>
      <patternFill patternType="solid">
        <fgColor rgb="FF0F1115"/>
        <bgColor indexed="64"/>
      </patternFill>
    </fill>
    <fill>
      <patternFill patternType="solid">
        <fgColor rgb="FF1A1D23"/>
        <bgColor indexed="64"/>
      </patternFill>
    </fill>
    <fill>
      <patternFill patternType="solid">
        <fgColor rgb="FF232730"/>
        <bgColor indexed="64"/>
      </patternFill>
    </fill>
    <fill>
      <patternFill patternType="solid">
        <fgColor rgb="FFF0841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0841A"/>
      </left>
      <right style="thin">
        <color rgb="FFF0841A"/>
      </right>
      <top style="thin">
        <color rgb="FFF0841A"/>
      </top>
      <bottom style="thin">
        <color rgb="FFF0841A"/>
      </bottom>
      <diagonal/>
    </border>
    <border>
      <left/>
      <right/>
      <top/>
      <bottom style="medium">
        <color rgb="FFF0841A"/>
      </bottom>
      <diagonal/>
    </border>
    <border>
      <left/>
      <right/>
      <top/>
      <bottom style="thin">
        <color rgb="FFF0841A"/>
      </bottom>
      <diagonal/>
    </border>
    <border>
      <left style="thin">
        <color rgb="FFF0841A"/>
      </left>
      <right style="thin">
        <color rgb="FFF0841A"/>
      </right>
      <top style="thin">
        <color rgb="FFF0841A"/>
      </top>
      <bottom style="thin">
        <color rgb="FFF0841A"/>
      </bottom>
      <diagonal/>
    </border>
    <border>
      <left style="thick">
        <color rgb="FF0F1115"/>
      </left>
      <right style="thick">
        <color rgb="FF0F1115"/>
      </right>
      <top/>
      <bottom/>
      <diagonal/>
    </border>
    <border>
      <left style="thick">
        <color rgb="FF0F1115"/>
      </left>
      <right style="thick">
        <color rgb="FF0F1115"/>
      </right>
      <top style="thick">
        <color rgb="FF0F1115"/>
      </top>
      <bottom/>
      <diagonal/>
    </border>
    <border>
      <left style="thick">
        <color rgb="FF0F1115"/>
      </left>
      <right style="thick">
        <color rgb="FF0F1115"/>
      </right>
      <top/>
      <bottom style="thick">
        <color rgb="FF0F111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/>
      <right/>
      <top style="medium">
        <color rgb="FFF0841A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 indent="1" readingOrder="1"/>
    </xf>
    <xf numFmtId="0" fontId="0" fillId="0" borderId="0" xfId="0" applyProtection="1">
      <protection locked="0"/>
    </xf>
    <xf numFmtId="0" fontId="0" fillId="0" borderId="1" xfId="0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9" fontId="0" fillId="0" borderId="0" xfId="1" applyFont="1" applyAlignment="1">
      <alignment horizontal="center"/>
    </xf>
    <xf numFmtId="9" fontId="0" fillId="0" borderId="0" xfId="1" applyFont="1"/>
    <xf numFmtId="0" fontId="6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5" fillId="3" borderId="0" xfId="0" applyFont="1" applyFill="1" applyAlignment="1">
      <alignment horizontal="left" vertical="center" indent="1"/>
    </xf>
    <xf numFmtId="0" fontId="0" fillId="4" borderId="0" xfId="0" applyFill="1" applyAlignment="1">
      <alignment vertical="center"/>
    </xf>
    <xf numFmtId="0" fontId="12" fillId="4" borderId="0" xfId="0" applyFont="1" applyFill="1" applyAlignment="1">
      <alignment vertical="center"/>
    </xf>
    <xf numFmtId="0" fontId="13" fillId="4" borderId="0" xfId="0" applyFont="1" applyFill="1" applyAlignment="1">
      <alignment vertical="top"/>
    </xf>
    <xf numFmtId="0" fontId="9" fillId="4" borderId="0" xfId="0" applyFont="1" applyFill="1" applyAlignment="1">
      <alignment horizontal="right"/>
    </xf>
    <xf numFmtId="164" fontId="16" fillId="4" borderId="0" xfId="0" applyNumberFormat="1" applyFont="1" applyFill="1" applyAlignment="1">
      <alignment horizontal="right" vertical="top"/>
    </xf>
    <xf numFmtId="0" fontId="0" fillId="7" borderId="0" xfId="0" applyFill="1" applyAlignment="1">
      <alignment vertical="center"/>
    </xf>
    <xf numFmtId="0" fontId="15" fillId="6" borderId="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left" vertical="center" wrapText="1" indent="1"/>
    </xf>
    <xf numFmtId="0" fontId="7" fillId="4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9" fontId="8" fillId="4" borderId="0" xfId="0" applyNumberFormat="1" applyFont="1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/>
    </xf>
    <xf numFmtId="0" fontId="17" fillId="6" borderId="5" xfId="0" applyFont="1" applyFill="1" applyBorder="1" applyAlignment="1" applyProtection="1">
      <alignment horizontal="left" vertical="center" indent="1"/>
      <protection locked="0"/>
    </xf>
    <xf numFmtId="0" fontId="10" fillId="4" borderId="0" xfId="0" applyFont="1" applyFill="1" applyAlignment="1">
      <alignment horizontal="left" vertical="center"/>
    </xf>
    <xf numFmtId="0" fontId="24" fillId="4" borderId="0" xfId="0" applyFont="1" applyFill="1" applyAlignment="1">
      <alignment vertical="center"/>
    </xf>
    <xf numFmtId="0" fontId="11" fillId="5" borderId="7" xfId="0" applyFont="1" applyFill="1" applyBorder="1" applyAlignment="1">
      <alignment horizontal="left" indent="1"/>
    </xf>
    <xf numFmtId="9" fontId="18" fillId="5" borderId="6" xfId="0" applyNumberFormat="1" applyFont="1" applyFill="1" applyBorder="1" applyAlignment="1">
      <alignment horizontal="left" vertical="center" indent="1"/>
    </xf>
    <xf numFmtId="0" fontId="22" fillId="5" borderId="6" xfId="0" applyFont="1" applyFill="1" applyBorder="1" applyAlignment="1">
      <alignment horizontal="left" vertical="center" indent="1"/>
    </xf>
    <xf numFmtId="0" fontId="19" fillId="5" borderId="6" xfId="0" applyFont="1" applyFill="1" applyBorder="1" applyAlignment="1">
      <alignment horizontal="left" vertical="center" indent="1"/>
    </xf>
    <xf numFmtId="0" fontId="20" fillId="5" borderId="6" xfId="0" applyFont="1" applyFill="1" applyBorder="1" applyAlignment="1">
      <alignment horizontal="left" vertical="center" indent="1"/>
    </xf>
    <xf numFmtId="0" fontId="21" fillId="5" borderId="6" xfId="0" applyFont="1" applyFill="1" applyBorder="1" applyAlignment="1">
      <alignment horizontal="left" vertical="center" indent="1"/>
    </xf>
    <xf numFmtId="0" fontId="9" fillId="5" borderId="8" xfId="0" applyFont="1" applyFill="1" applyBorder="1" applyAlignment="1">
      <alignment horizontal="left" vertical="top" indent="1"/>
    </xf>
    <xf numFmtId="0" fontId="23" fillId="5" borderId="8" xfId="0" applyFont="1" applyFill="1" applyBorder="1" applyAlignment="1">
      <alignment horizontal="left" vertical="top" indent="1"/>
    </xf>
    <xf numFmtId="0" fontId="25" fillId="6" borderId="5" xfId="0" applyFont="1" applyFill="1" applyBorder="1" applyAlignment="1" applyProtection="1">
      <alignment horizontal="left" vertical="center" indent="1"/>
      <protection locked="0"/>
    </xf>
    <xf numFmtId="0" fontId="7" fillId="4" borderId="0" xfId="0" applyFont="1" applyFill="1" applyAlignment="1">
      <alignment horizontal="left" vertical="center"/>
    </xf>
    <xf numFmtId="0" fontId="26" fillId="2" borderId="2" xfId="0" applyFont="1" applyFill="1" applyBorder="1" applyAlignment="1" applyProtection="1">
      <alignment horizontal="center" vertical="center" wrapText="1"/>
      <protection locked="0"/>
    </xf>
    <xf numFmtId="0" fontId="26" fillId="2" borderId="2" xfId="0" applyFont="1" applyFill="1" applyBorder="1" applyAlignment="1">
      <alignment horizontal="center" vertical="center" wrapText="1"/>
    </xf>
    <xf numFmtId="0" fontId="27" fillId="0" borderId="0" xfId="0" applyFont="1"/>
    <xf numFmtId="0" fontId="17" fillId="6" borderId="0" xfId="0" applyFont="1" applyFill="1" applyAlignment="1" applyProtection="1">
      <alignment horizontal="left" vertical="center" indent="1"/>
      <protection locked="0"/>
    </xf>
    <xf numFmtId="0" fontId="14" fillId="4" borderId="0" xfId="0" applyFont="1" applyFill="1" applyAlignment="1">
      <alignment horizontal="left"/>
    </xf>
    <xf numFmtId="0" fontId="15" fillId="6" borderId="0" xfId="0" applyFont="1" applyFill="1" applyAlignment="1">
      <alignment horizontal="center" vertical="center" wrapText="1"/>
    </xf>
    <xf numFmtId="0" fontId="29" fillId="6" borderId="4" xfId="0" applyFont="1" applyFill="1" applyBorder="1" applyAlignment="1">
      <alignment horizontal="left" vertical="center" wrapText="1"/>
    </xf>
    <xf numFmtId="0" fontId="30" fillId="4" borderId="0" xfId="0" applyFont="1" applyFill="1" applyAlignment="1">
      <alignment horizontal="left" vertical="center" wrapText="1"/>
    </xf>
    <xf numFmtId="0" fontId="28" fillId="4" borderId="0" xfId="0" applyFont="1" applyFill="1" applyAlignment="1">
      <alignment horizontal="left" vertical="center" wrapText="1"/>
    </xf>
    <xf numFmtId="0" fontId="28" fillId="7" borderId="0" xfId="0" applyFont="1" applyFill="1" applyAlignment="1">
      <alignment horizontal="left" vertical="center" wrapText="1"/>
    </xf>
    <xf numFmtId="0" fontId="10" fillId="4" borderId="0" xfId="0" applyFont="1" applyFill="1" applyAlignment="1">
      <alignment vertical="center" wrapText="1"/>
    </xf>
    <xf numFmtId="0" fontId="9" fillId="4" borderId="0" xfId="0" applyFont="1" applyFill="1" applyAlignment="1">
      <alignment horizontal="right" wrapText="1"/>
    </xf>
    <xf numFmtId="164" fontId="16" fillId="4" borderId="0" xfId="0" applyNumberFormat="1" applyFont="1" applyFill="1" applyAlignment="1">
      <alignment horizontal="right" vertical="top" wrapText="1"/>
    </xf>
    <xf numFmtId="0" fontId="15" fillId="6" borderId="4" xfId="0" applyFont="1" applyFill="1" applyBorder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14" fillId="4" borderId="3" xfId="0" applyFont="1" applyFill="1" applyBorder="1" applyAlignment="1">
      <alignment horizontal="left"/>
    </xf>
    <xf numFmtId="0" fontId="10" fillId="4" borderId="0" xfId="0" applyFont="1" applyFill="1" applyAlignment="1">
      <alignment horizontal="left" vertical="center"/>
    </xf>
    <xf numFmtId="0" fontId="10" fillId="4" borderId="10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left" vertical="center" wrapText="1"/>
    </xf>
    <xf numFmtId="0" fontId="0" fillId="4" borderId="0" xfId="0" applyFill="1" applyAlignment="1">
      <alignment vertical="center"/>
    </xf>
    <xf numFmtId="0" fontId="11" fillId="4" borderId="0" xfId="0" applyFont="1" applyFill="1" applyAlignment="1">
      <alignment horizontal="left"/>
    </xf>
    <xf numFmtId="0" fontId="17" fillId="6" borderId="5" xfId="0" applyFont="1" applyFill="1" applyBorder="1" applyAlignment="1" applyProtection="1">
      <alignment horizontal="left" vertical="center" indent="1"/>
      <protection locked="0"/>
    </xf>
    <xf numFmtId="164" fontId="8" fillId="4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 applyProtection="1">
      <alignment horizontal="center" vertical="center" wrapText="1" readingOrder="1"/>
      <protection locked="0"/>
    </xf>
    <xf numFmtId="165" fontId="1" fillId="0" borderId="9" xfId="0" applyNumberFormat="1" applyFont="1" applyFill="1" applyBorder="1" applyAlignment="1" applyProtection="1">
      <alignment horizontal="center" vertical="center" wrapText="1" readingOrder="1"/>
      <protection locked="0"/>
    </xf>
    <xf numFmtId="0" fontId="1" fillId="0" borderId="9" xfId="0" applyNumberFormat="1" applyFont="1" applyFill="1" applyBorder="1" applyAlignment="1">
      <alignment horizontal="center" vertical="center" wrapText="1" readingOrder="1"/>
    </xf>
    <xf numFmtId="0" fontId="1" fillId="0" borderId="0" xfId="0" applyNumberFormat="1" applyFont="1" applyFill="1" applyBorder="1" applyAlignment="1">
      <alignment horizontal="center" vertical="center" wrapText="1" readingOrder="1"/>
    </xf>
  </cellXfs>
  <cellStyles count="2">
    <cellStyle name="Normal" xfId="0" builtinId="0"/>
    <cellStyle name="Porcentaje" xfId="1" builtinId="5"/>
  </cellStyles>
  <dxfs count="80">
    <dxf>
      <border>
        <bottom style="thin">
          <color rgb="FF2E333C"/>
        </bottom>
      </border>
    </dxf>
    <dxf>
      <font>
        <i/>
        <color rgb="FF9CA3AF"/>
      </font>
    </dxf>
    <dxf>
      <font>
        <b/>
        <color rgb="FF6EE7B7"/>
      </font>
    </dxf>
    <dxf>
      <font>
        <color rgb="FF4B5563"/>
      </font>
    </dxf>
    <dxf>
      <font>
        <b/>
        <color rgb="FFFBBF24"/>
      </font>
    </dxf>
    <dxf>
      <font>
        <b/>
        <color rgb="FFF87171"/>
      </font>
    </dxf>
    <dxf>
      <font>
        <color rgb="FF6EE7B7"/>
      </font>
    </dxf>
    <dxf>
      <font>
        <b/>
        <color rgb="FFFCD34D"/>
      </font>
      <fill>
        <patternFill>
          <bgColor rgb="FF3A2C0C"/>
        </patternFill>
      </fill>
    </dxf>
    <dxf>
      <font>
        <b/>
        <color rgb="FFFCA5A5"/>
      </font>
      <fill>
        <patternFill>
          <bgColor rgb="FF3B1517"/>
        </patternFill>
      </fill>
    </dxf>
    <dxf>
      <font>
        <color rgb="FF6EE7B7"/>
      </font>
    </dxf>
    <dxf>
      <font>
        <b/>
        <color rgb="FFFDBA74"/>
      </font>
      <fill>
        <patternFill>
          <bgColor rgb="FF3A2211"/>
        </patternFill>
      </fill>
    </dxf>
    <dxf>
      <border>
        <bottom style="thin">
          <color rgb="FF2E333C"/>
        </bottom>
      </border>
    </dxf>
    <dxf>
      <font>
        <i/>
        <color rgb="FF9CA3AF"/>
      </font>
    </dxf>
    <dxf>
      <font>
        <i/>
        <color rgb="FF9CA3AF"/>
      </font>
    </dxf>
    <dxf>
      <border>
        <bottom style="thin">
          <color rgb="FF2E333C"/>
        </bottom>
      </border>
    </dxf>
    <dxf>
      <border>
        <bottom style="thin">
          <color rgb="FF2E333C"/>
        </bottom>
      </border>
    </dxf>
    <dxf>
      <border>
        <bottom style="thin">
          <color rgb="FF2E333C"/>
        </bottom>
      </border>
    </dxf>
    <dxf>
      <border>
        <bottom style="thin">
          <color rgb="FF2E333C"/>
        </bottom>
      </border>
    </dxf>
    <dxf>
      <font>
        <b/>
        <color rgb="FF6EE7B7"/>
      </font>
    </dxf>
    <dxf>
      <font>
        <color rgb="FF4B5563"/>
      </font>
    </dxf>
    <dxf>
      <font>
        <b/>
        <color rgb="FFFBBF24"/>
      </font>
    </dxf>
    <dxf>
      <font>
        <color rgb="FF4B5563"/>
      </font>
    </dxf>
    <dxf>
      <font>
        <b/>
        <color rgb="FFF87171"/>
      </font>
    </dxf>
    <dxf>
      <font>
        <color rgb="FF4B5563"/>
      </font>
    </dxf>
    <dxf>
      <font>
        <b/>
        <color rgb="FFFB923C"/>
      </font>
    </dxf>
    <dxf>
      <font>
        <i/>
        <color rgb="FF9CA3AF"/>
      </font>
    </dxf>
    <dxf>
      <font>
        <color rgb="FF6EE7B7"/>
      </font>
    </dxf>
    <dxf>
      <font>
        <b/>
        <color rgb="FFFBBF24"/>
      </font>
    </dxf>
    <dxf>
      <font>
        <b/>
        <color rgb="FFF87171"/>
      </font>
    </dxf>
    <dxf>
      <font>
        <b/>
        <color rgb="FFFCD34D"/>
      </font>
      <fill>
        <patternFill>
          <bgColor rgb="FF3A2C0C"/>
        </patternFill>
      </fill>
    </dxf>
    <dxf>
      <font>
        <b/>
        <color rgb="FFFCA5A5"/>
      </font>
      <fill>
        <patternFill>
          <bgColor rgb="FF3B1517"/>
        </patternFill>
      </fill>
    </dxf>
    <dxf>
      <font>
        <b/>
        <color rgb="FFFFFFFF"/>
      </font>
      <fill>
        <patternFill>
          <bgColor rgb="FF5A351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color rgb="FF9CA3AF"/>
      </font>
    </dxf>
    <dxf>
      <font>
        <color rgb="FF475467"/>
      </font>
      <fill>
        <patternFill>
          <bgColor rgb="FFF2F4F7"/>
        </patternFill>
      </fill>
    </dxf>
    <dxf>
      <font>
        <color rgb="FF067647"/>
      </font>
    </dxf>
    <dxf>
      <font>
        <b/>
        <color rgb="FFC2580A"/>
      </font>
      <fill>
        <patternFill>
          <bgColor rgb="FFFFEDD5"/>
        </patternFill>
      </fill>
    </dxf>
    <dxf>
      <font>
        <color rgb="FF067647"/>
      </font>
    </dxf>
    <dxf>
      <font>
        <color rgb="FF067647"/>
      </font>
    </dxf>
    <dxf>
      <font>
        <b/>
        <color rgb="FFB54708"/>
      </font>
      <fill>
        <patternFill>
          <bgColor rgb="FFFEF0C7"/>
        </patternFill>
      </fill>
    </dxf>
    <dxf>
      <font>
        <b/>
        <color rgb="FFB42318"/>
      </font>
      <fill>
        <patternFill>
          <bgColor rgb="FFFEE4E2"/>
        </patternFill>
      </fill>
    </dxf>
    <dxf>
      <font>
        <b/>
        <color rgb="FFB54708"/>
      </font>
      <fill>
        <patternFill>
          <bgColor rgb="FFFEF0C7"/>
        </patternFill>
      </fill>
    </dxf>
    <dxf>
      <font>
        <color rgb="FF067647"/>
      </font>
      <fill>
        <patternFill>
          <bgColor rgb="FFFFFFFF"/>
        </patternFill>
      </fill>
    </dxf>
    <dxf>
      <font>
        <i/>
        <color rgb="FF9CA3AF"/>
      </font>
      <fill>
        <patternFill>
          <bgColor rgb="FFFFFFFF"/>
        </patternFill>
      </fill>
    </dxf>
    <dxf>
      <font>
        <b/>
        <color rgb="FFB42318"/>
      </font>
      <fill>
        <patternFill>
          <bgColor rgb="FFFEE4E2"/>
        </patternFill>
      </fill>
    </dxf>
    <dxf>
      <font>
        <color rgb="FF475467"/>
      </font>
      <fill>
        <patternFill>
          <bgColor rgb="FFF2F4F7"/>
        </patternFill>
      </fill>
    </dxf>
    <dxf>
      <font>
        <color rgb="FF067647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numFmt numFmtId="165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  <protection locked="0" hidden="0"/>
    </dxf>
    <dxf>
      <border outline="0">
        <top style="medium">
          <color rgb="FFC4C7C5"/>
        </top>
      </border>
    </dxf>
    <dxf>
      <border outline="0">
        <left style="medium">
          <color rgb="FFC4C7C5"/>
        </left>
        <right style="medium">
          <color rgb="FFC4C7C5"/>
        </right>
        <top style="medium">
          <color rgb="FFC4C7C5"/>
        </top>
        <bottom style="medium">
          <color rgb="FFC4C7C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 val="0"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ck">
          <color rgb="FFE5722E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rgb="FFFFFFFF"/>
        </patternFill>
      </fill>
    </dxf>
    <dxf>
      <fill>
        <patternFill patternType="solid">
          <fgColor rgb="FFFFF8F1"/>
          <bgColor rgb="FFFFF8F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rgb="FFFFFFFF"/>
      </font>
      <fill>
        <patternFill>
          <bgColor rgb="FFF0841A"/>
        </patternFill>
      </fill>
      <border>
        <bottom style="thin">
          <color rgb="FFF0841A"/>
        </bottom>
      </border>
    </dxf>
    <dxf>
      <font>
        <color rgb="FF1F2937"/>
      </font>
      <border>
        <top style="thin">
          <color rgb="FFE5E7EB"/>
        </top>
        <bottom style="thin">
          <color rgb="FFE5E7EB"/>
        </bottom>
        <horizontal style="thin">
          <color rgb="FFE5E7EB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rgb="FFFFFFFF"/>
        </patternFill>
      </fill>
    </dxf>
    <dxf>
      <fill>
        <patternFill patternType="solid">
          <fgColor rgb="FFFFF8F1"/>
          <bgColor rgb="FFFFF8F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rgb="FFFFFFFF"/>
      </font>
      <fill>
        <patternFill>
          <bgColor rgb="FFF0841A"/>
        </patternFill>
      </fill>
      <border>
        <bottom style="thin">
          <color rgb="FFF0841A"/>
        </bottom>
      </border>
    </dxf>
    <dxf>
      <font>
        <color rgb="FF1F2937"/>
      </font>
      <border>
        <top style="thin">
          <color rgb="FFE5E7EB"/>
        </top>
        <bottom style="thin">
          <color rgb="FFE5E7EB"/>
        </bottom>
        <horizontal style="thin">
          <color rgb="FFE5E7EB"/>
        </horizontal>
      </border>
    </dxf>
    <dxf>
      <font>
        <b/>
        <color theme="1"/>
      </font>
      <fill>
        <patternFill>
          <bgColor rgb="FFEEA264"/>
        </patternFill>
      </fill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3" defaultTableStyle="TableStyleMedium2" defaultPivotStyle="PivotStyleLight16">
    <tableStyle name="diseño_styba" pivot="0" table="0" count="10" xr9:uid="{6979D2D6-EB10-4CAF-8755-31BA2F15B443}">
      <tableStyleElement type="wholeTable" dxfId="79"/>
      <tableStyleElement type="headerRow" dxfId="78"/>
    </tableStyle>
    <tableStyle name="Estilo_Styba" pivot="0" count="8" xr9:uid="{11639915-6AB2-427F-BD80-DC99C3595CD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RowStripe" dxfId="72"/>
      <tableStyleElement type="secondRowStripe" dxfId="71"/>
      <tableStyleElement type="firstColumnStripe" dxfId="70"/>
    </tableStyle>
    <tableStyle name="Estilo_Styba 2" pivot="0" count="8" xr9:uid="{8C1C5FFF-2E50-4BB5-95F0-3F74B7F3F139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RowStripe" dxfId="64"/>
      <tableStyleElement type="secondRowStripe" dxfId="63"/>
      <tableStyleElement type="firstColumnStripe" dxfId="62"/>
    </tableStyle>
  </tableStyles>
  <colors>
    <mruColors>
      <color rgb="FFFDF2ED"/>
      <color rgb="FFFCDCC8"/>
      <color rgb="FFF0841A"/>
      <color rgb="FFFFFFFF"/>
      <color rgb="FFE5722E"/>
      <color rgb="FFE0A998"/>
      <color rgb="FFA64D32"/>
      <color rgb="FFF1BF87"/>
      <color rgb="FF333333"/>
      <color rgb="FFF3F4F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diseño_styb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2283017" y="190500"/>
    <xdr:ext cx="1832987" cy="94464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Estatus Cliente">
              <a:extLst>
                <a:ext uri="{FF2B5EF4-FFF2-40B4-BE49-F238E27FC236}">
                  <a16:creationId xmlns:a16="http://schemas.microsoft.com/office/drawing/2014/main" id="{C83EBA0B-38C5-8B89-2A99-D7E17326D0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3017" y="190500"/>
              <a:ext cx="1832987" cy="944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03" y="127000"/>
    <xdr:ext cx="465718" cy="641350"/>
    <xdr:pic>
      <xdr:nvPicPr>
        <xdr:cNvPr id="2" name="Imagen 1">
          <a:extLst>
            <a:ext uri="{FF2B5EF4-FFF2-40B4-BE49-F238E27FC236}">
              <a16:creationId xmlns:a16="http://schemas.microsoft.com/office/drawing/2014/main" id="{AA998C04-478C-1DB3-65EC-C0CF7A451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" y="127000"/>
          <a:ext cx="465718" cy="641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twoCellAnchor editAs="absolute">
    <xdr:from>
      <xdr:col>0</xdr:col>
      <xdr:colOff>462643</xdr:colOff>
      <xdr:row>5</xdr:row>
      <xdr:rowOff>0</xdr:rowOff>
    </xdr:from>
    <xdr:to>
      <xdr:col>2</xdr:col>
      <xdr:colOff>810418</xdr:colOff>
      <xdr:row>9</xdr:row>
      <xdr:rowOff>38100</xdr:rowOff>
    </xdr:to>
    <xdr:sp macro="" textlink="">
      <xdr:nvSpPr>
        <xdr:cNvPr id="201" name="KPI 1 fondo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65897" y="952500"/>
          <a:ext cx="2386184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0</xdr:col>
      <xdr:colOff>472168</xdr:colOff>
      <xdr:row>5</xdr:row>
      <xdr:rowOff>133350</xdr:rowOff>
    </xdr:from>
    <xdr:to>
      <xdr:col>0</xdr:col>
      <xdr:colOff>510268</xdr:colOff>
      <xdr:row>8</xdr:row>
      <xdr:rowOff>158749</xdr:rowOff>
    </xdr:to>
    <xdr:sp macro="" textlink="">
      <xdr:nvSpPr>
        <xdr:cNvPr id="202" name="KPI 1 acento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476250" y="1098550"/>
          <a:ext cx="38100" cy="787399"/>
        </a:xfrm>
        <a:prstGeom prst="rect">
          <a:avLst/>
        </a:prstGeom>
        <a:solidFill>
          <a:srgbClr val="F0841A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1</xdr:col>
      <xdr:colOff>57150</xdr:colOff>
      <xdr:row>5</xdr:row>
      <xdr:rowOff>114300</xdr:rowOff>
    </xdr:from>
    <xdr:to>
      <xdr:col>2</xdr:col>
      <xdr:colOff>715168</xdr:colOff>
      <xdr:row>6</xdr:row>
      <xdr:rowOff>12699</xdr:rowOff>
    </xdr:to>
    <xdr:sp macro="" textlink="">
      <xdr:nvSpPr>
        <xdr:cNvPr id="203" name="KPI 1 titulo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 txBox="1"/>
      </xdr:nvSpPr>
      <xdr:spPr>
        <a:xfrm>
          <a:off x="619125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CLIENTES ACTIVOS</a:t>
          </a:r>
        </a:p>
      </xdr:txBody>
    </xdr:sp>
    <xdr:clientData fLocksWithSheet="0"/>
  </xdr:twoCellAnchor>
  <xdr:twoCellAnchor editAs="absolute">
    <xdr:from>
      <xdr:col>1</xdr:col>
      <xdr:colOff>57150</xdr:colOff>
      <xdr:row>6</xdr:row>
      <xdr:rowOff>31749</xdr:rowOff>
    </xdr:from>
    <xdr:to>
      <xdr:col>2</xdr:col>
      <xdr:colOff>715168</xdr:colOff>
      <xdr:row>7</xdr:row>
      <xdr:rowOff>139699</xdr:rowOff>
    </xdr:to>
    <xdr:sp macro="" textlink="'Tabla dinamica'!$L$4">
      <xdr:nvSpPr>
        <xdr:cNvPr id="204" name="KPI 1 valor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 txBox="1"/>
      </xdr:nvSpPr>
      <xdr:spPr>
        <a:xfrm>
          <a:off x="619125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F1926298-F824-49B3-8B36-4283234D63EB}" type="TxLink">
            <a:rPr lang="es-SV" sz="2600" b="1">
              <a:solidFill>
                <a:srgbClr val="FFFFFF"/>
              </a:solidFill>
              <a:latin typeface="Arial Narrow"/>
              <a:cs typeface="Arial Narrow"/>
            </a:rPr>
            <a:pPr algn="l"/>
            <a:t>0</a:t>
          </a:fld>
          <a:endParaRPr lang="es-SV" sz="2600" b="1">
            <a:solidFill>
              <a:srgbClr val="FFFFFF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1</xdr:col>
      <xdr:colOff>57150</xdr:colOff>
      <xdr:row>7</xdr:row>
      <xdr:rowOff>177799</xdr:rowOff>
    </xdr:from>
    <xdr:to>
      <xdr:col>2</xdr:col>
      <xdr:colOff>715168</xdr:colOff>
      <xdr:row>8</xdr:row>
      <xdr:rowOff>95250</xdr:rowOff>
    </xdr:to>
    <xdr:sp macro="" textlink="'Tabla dinamica'!$M$4">
      <xdr:nvSpPr>
        <xdr:cNvPr id="205" name="KPI 1 detalle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/>
      </xdr:nvSpPr>
      <xdr:spPr>
        <a:xfrm>
          <a:off x="619125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84681139-E086-4F1E-8770-254419856F18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0 clientes registrados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2</xdr:col>
      <xdr:colOff>943768</xdr:colOff>
      <xdr:row>5</xdr:row>
      <xdr:rowOff>0</xdr:rowOff>
    </xdr:from>
    <xdr:to>
      <xdr:col>2</xdr:col>
      <xdr:colOff>3328194</xdr:colOff>
      <xdr:row>9</xdr:row>
      <xdr:rowOff>38100</xdr:rowOff>
    </xdr:to>
    <xdr:sp macro="" textlink="">
      <xdr:nvSpPr>
        <xdr:cNvPr id="206" name="KPI 2 fondo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/>
      </xdr:nvSpPr>
      <xdr:spPr>
        <a:xfrm>
          <a:off x="2985431" y="952500"/>
          <a:ext cx="2387533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2</xdr:col>
      <xdr:colOff>953293</xdr:colOff>
      <xdr:row>5</xdr:row>
      <xdr:rowOff>133350</xdr:rowOff>
    </xdr:from>
    <xdr:to>
      <xdr:col>2</xdr:col>
      <xdr:colOff>991393</xdr:colOff>
      <xdr:row>8</xdr:row>
      <xdr:rowOff>158749</xdr:rowOff>
    </xdr:to>
    <xdr:sp macro="" textlink="">
      <xdr:nvSpPr>
        <xdr:cNvPr id="207" name="KPI 2 acento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2989262" y="1098550"/>
          <a:ext cx="38100" cy="787399"/>
        </a:xfrm>
        <a:prstGeom prst="rect">
          <a:avLst/>
        </a:prstGeom>
        <a:solidFill>
          <a:srgbClr val="6B7280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2</xdr:col>
      <xdr:colOff>1096168</xdr:colOff>
      <xdr:row>5</xdr:row>
      <xdr:rowOff>114300</xdr:rowOff>
    </xdr:from>
    <xdr:to>
      <xdr:col>2</xdr:col>
      <xdr:colOff>3232944</xdr:colOff>
      <xdr:row>6</xdr:row>
      <xdr:rowOff>12699</xdr:rowOff>
    </xdr:to>
    <xdr:sp macro="" textlink="">
      <xdr:nvSpPr>
        <xdr:cNvPr id="208" name="KPI 2 titulo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/>
      </xdr:nvSpPr>
      <xdr:spPr>
        <a:xfrm>
          <a:off x="3132137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DOCUMENTOS</a:t>
          </a:r>
        </a:p>
      </xdr:txBody>
    </xdr:sp>
    <xdr:clientData fLocksWithSheet="0"/>
  </xdr:twoCellAnchor>
  <xdr:twoCellAnchor editAs="absolute">
    <xdr:from>
      <xdr:col>2</xdr:col>
      <xdr:colOff>1096168</xdr:colOff>
      <xdr:row>6</xdr:row>
      <xdr:rowOff>31749</xdr:rowOff>
    </xdr:from>
    <xdr:to>
      <xdr:col>2</xdr:col>
      <xdr:colOff>3232944</xdr:colOff>
      <xdr:row>7</xdr:row>
      <xdr:rowOff>139699</xdr:rowOff>
    </xdr:to>
    <xdr:sp macro="" textlink="'Tabla dinamica'!$L$5">
      <xdr:nvSpPr>
        <xdr:cNvPr id="209" name="KPI 2 valor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 txBox="1"/>
      </xdr:nvSpPr>
      <xdr:spPr>
        <a:xfrm>
          <a:off x="3132137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1F04188F-D26D-4C81-A65E-7C41685CDAE1}" type="TxLink">
            <a:rPr lang="es-SV" sz="2600" b="1">
              <a:solidFill>
                <a:srgbClr val="FFFFFF"/>
              </a:solidFill>
              <a:latin typeface="Arial Narrow"/>
              <a:cs typeface="Arial Narrow"/>
            </a:rPr>
            <a:pPr algn="l"/>
            <a:t>0</a:t>
          </a:fld>
          <a:endParaRPr lang="es-SV" sz="2600" b="1">
            <a:solidFill>
              <a:srgbClr val="FFFFFF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2</xdr:col>
      <xdr:colOff>1096168</xdr:colOff>
      <xdr:row>7</xdr:row>
      <xdr:rowOff>177799</xdr:rowOff>
    </xdr:from>
    <xdr:to>
      <xdr:col>2</xdr:col>
      <xdr:colOff>3232944</xdr:colOff>
      <xdr:row>8</xdr:row>
      <xdr:rowOff>95250</xdr:rowOff>
    </xdr:to>
    <xdr:sp macro="" textlink="'Tabla dinamica'!$M$5">
      <xdr:nvSpPr>
        <xdr:cNvPr id="210" name="KPI 2 detalle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 txBox="1"/>
      </xdr:nvSpPr>
      <xdr:spPr>
        <a:xfrm>
          <a:off x="3132137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56110ABF-D61A-48F3-9733-BCF54FFA1F13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en expedientes activos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2</xdr:col>
      <xdr:colOff>3466306</xdr:colOff>
      <xdr:row>5</xdr:row>
      <xdr:rowOff>0</xdr:rowOff>
    </xdr:from>
    <xdr:to>
      <xdr:col>5</xdr:col>
      <xdr:colOff>659265</xdr:colOff>
      <xdr:row>9</xdr:row>
      <xdr:rowOff>38100</xdr:rowOff>
    </xdr:to>
    <xdr:sp macro="" textlink="">
      <xdr:nvSpPr>
        <xdr:cNvPr id="211" name="KPI 3 fondo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/>
      </xdr:nvSpPr>
      <xdr:spPr>
        <a:xfrm>
          <a:off x="5511076" y="952500"/>
          <a:ext cx="2371069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2</xdr:col>
      <xdr:colOff>3475831</xdr:colOff>
      <xdr:row>5</xdr:row>
      <xdr:rowOff>133350</xdr:rowOff>
    </xdr:from>
    <xdr:to>
      <xdr:col>2</xdr:col>
      <xdr:colOff>3513931</xdr:colOff>
      <xdr:row>8</xdr:row>
      <xdr:rowOff>158749</xdr:rowOff>
    </xdr:to>
    <xdr:sp macro="" textlink="">
      <xdr:nvSpPr>
        <xdr:cNvPr id="212" name="KPI 3 acento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/>
      </xdr:nvSpPr>
      <xdr:spPr>
        <a:xfrm>
          <a:off x="5502275" y="1098550"/>
          <a:ext cx="38100" cy="787399"/>
        </a:xfrm>
        <a:prstGeom prst="rect">
          <a:avLst/>
        </a:prstGeom>
        <a:solidFill>
          <a:srgbClr val="10B981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2</xdr:col>
      <xdr:colOff>3613944</xdr:colOff>
      <xdr:row>5</xdr:row>
      <xdr:rowOff>114300</xdr:rowOff>
    </xdr:from>
    <xdr:to>
      <xdr:col>5</xdr:col>
      <xdr:colOff>569118</xdr:colOff>
      <xdr:row>6</xdr:row>
      <xdr:rowOff>12699</xdr:rowOff>
    </xdr:to>
    <xdr:sp macro="" textlink="">
      <xdr:nvSpPr>
        <xdr:cNvPr id="213" name="KPI 3 titulo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 txBox="1"/>
      </xdr:nvSpPr>
      <xdr:spPr>
        <a:xfrm>
          <a:off x="5645150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CUMPLIMIENTO</a:t>
          </a:r>
        </a:p>
      </xdr:txBody>
    </xdr:sp>
    <xdr:clientData fLocksWithSheet="0"/>
  </xdr:twoCellAnchor>
  <xdr:twoCellAnchor editAs="absolute">
    <xdr:from>
      <xdr:col>2</xdr:col>
      <xdr:colOff>3613944</xdr:colOff>
      <xdr:row>6</xdr:row>
      <xdr:rowOff>31749</xdr:rowOff>
    </xdr:from>
    <xdr:to>
      <xdr:col>5</xdr:col>
      <xdr:colOff>569118</xdr:colOff>
      <xdr:row>7</xdr:row>
      <xdr:rowOff>139699</xdr:rowOff>
    </xdr:to>
    <xdr:sp macro="" textlink="'Tabla dinamica'!$L$7">
      <xdr:nvSpPr>
        <xdr:cNvPr id="214" name="KPI 3 valor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 txBox="1"/>
      </xdr:nvSpPr>
      <xdr:spPr>
        <a:xfrm>
          <a:off x="5645150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C123F934-6006-4479-A836-B54253DAE001}" type="TxLink">
            <a:rPr lang="es-SV" sz="2600" b="1">
              <a:solidFill>
                <a:srgbClr val="34D399"/>
              </a:solidFill>
              <a:latin typeface="Arial Narrow"/>
              <a:cs typeface="Arial Narrow"/>
            </a:rPr>
            <a:pPr algn="l"/>
            <a:t>0%</a:t>
          </a:fld>
          <a:endParaRPr lang="es-SV" sz="2600" b="1">
            <a:solidFill>
              <a:srgbClr val="34D399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2</xdr:col>
      <xdr:colOff>3613944</xdr:colOff>
      <xdr:row>7</xdr:row>
      <xdr:rowOff>177799</xdr:rowOff>
    </xdr:from>
    <xdr:to>
      <xdr:col>5</xdr:col>
      <xdr:colOff>569118</xdr:colOff>
      <xdr:row>8</xdr:row>
      <xdr:rowOff>95250</xdr:rowOff>
    </xdr:to>
    <xdr:sp macro="" textlink="'Tabla dinamica'!$M$7">
      <xdr:nvSpPr>
        <xdr:cNvPr id="215" name="KPI 3 detalle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5645150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9262BF23-EB9F-40A9-9A11-C3268DAAFE1A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0 de 0 completos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6</xdr:col>
      <xdr:colOff>71437</xdr:colOff>
      <xdr:row>5</xdr:row>
      <xdr:rowOff>0</xdr:rowOff>
    </xdr:from>
    <xdr:to>
      <xdr:col>7</xdr:col>
      <xdr:colOff>851499</xdr:colOff>
      <xdr:row>9</xdr:row>
      <xdr:rowOff>38100</xdr:rowOff>
    </xdr:to>
    <xdr:sp macro="" textlink="">
      <xdr:nvSpPr>
        <xdr:cNvPr id="216" name="KPI 4 fondo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/>
      </xdr:nvSpPr>
      <xdr:spPr>
        <a:xfrm>
          <a:off x="8015495" y="952500"/>
          <a:ext cx="2379145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6</xdr:col>
      <xdr:colOff>80962</xdr:colOff>
      <xdr:row>5</xdr:row>
      <xdr:rowOff>133350</xdr:rowOff>
    </xdr:from>
    <xdr:to>
      <xdr:col>6</xdr:col>
      <xdr:colOff>119062</xdr:colOff>
      <xdr:row>8</xdr:row>
      <xdr:rowOff>158749</xdr:rowOff>
    </xdr:to>
    <xdr:sp macro="" textlink="">
      <xdr:nvSpPr>
        <xdr:cNvPr id="217" name="KPI 4 acento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/>
      </xdr:nvSpPr>
      <xdr:spPr>
        <a:xfrm>
          <a:off x="8015287" y="1098550"/>
          <a:ext cx="38100" cy="787399"/>
        </a:xfrm>
        <a:prstGeom prst="rect">
          <a:avLst/>
        </a:prstGeom>
        <a:solidFill>
          <a:srgbClr val="F0841A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6</xdr:col>
      <xdr:colOff>223837</xdr:colOff>
      <xdr:row>5</xdr:row>
      <xdr:rowOff>114300</xdr:rowOff>
    </xdr:from>
    <xdr:to>
      <xdr:col>7</xdr:col>
      <xdr:colOff>758712</xdr:colOff>
      <xdr:row>6</xdr:row>
      <xdr:rowOff>12699</xdr:rowOff>
    </xdr:to>
    <xdr:sp macro="" textlink="">
      <xdr:nvSpPr>
        <xdr:cNvPr id="218" name="KPI 4 titulo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 txBox="1"/>
      </xdr:nvSpPr>
      <xdr:spPr>
        <a:xfrm>
          <a:off x="8158162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PENDIENTES DE ENTREGA</a:t>
          </a:r>
        </a:p>
      </xdr:txBody>
    </xdr:sp>
    <xdr:clientData fLocksWithSheet="0"/>
  </xdr:twoCellAnchor>
  <xdr:twoCellAnchor editAs="absolute">
    <xdr:from>
      <xdr:col>6</xdr:col>
      <xdr:colOff>223837</xdr:colOff>
      <xdr:row>6</xdr:row>
      <xdr:rowOff>31749</xdr:rowOff>
    </xdr:from>
    <xdr:to>
      <xdr:col>7</xdr:col>
      <xdr:colOff>758712</xdr:colOff>
      <xdr:row>7</xdr:row>
      <xdr:rowOff>139699</xdr:rowOff>
    </xdr:to>
    <xdr:sp macro="" textlink="'Tabla dinamica'!$L$8">
      <xdr:nvSpPr>
        <xdr:cNvPr id="219" name="KPI 4 valor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 txBox="1"/>
      </xdr:nvSpPr>
      <xdr:spPr>
        <a:xfrm>
          <a:off x="8158162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9AD29D80-7DD2-4A37-982B-960ED30CED2C}" type="TxLink">
            <a:rPr lang="es-SV" sz="2600" b="1">
              <a:solidFill>
                <a:srgbClr val="FB923C"/>
              </a:solidFill>
              <a:latin typeface="Arial Narrow"/>
              <a:cs typeface="Arial Narrow"/>
            </a:rPr>
            <a:pPr algn="l"/>
            <a:t>0</a:t>
          </a:fld>
          <a:endParaRPr lang="es-SV" sz="2600" b="1">
            <a:solidFill>
              <a:srgbClr val="FB923C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6</xdr:col>
      <xdr:colOff>223837</xdr:colOff>
      <xdr:row>7</xdr:row>
      <xdr:rowOff>177799</xdr:rowOff>
    </xdr:from>
    <xdr:to>
      <xdr:col>7</xdr:col>
      <xdr:colOff>758712</xdr:colOff>
      <xdr:row>8</xdr:row>
      <xdr:rowOff>95250</xdr:rowOff>
    </xdr:to>
    <xdr:sp macro="" textlink="'Tabla dinamica'!$M$8">
      <xdr:nvSpPr>
        <xdr:cNvPr id="220" name="KPI 4 detalle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/>
      </xdr:nvSpPr>
      <xdr:spPr>
        <a:xfrm>
          <a:off x="8158162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B5AB583E-59DB-41B8-A509-063F7609DE86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 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7</xdr:col>
      <xdr:colOff>984849</xdr:colOff>
      <xdr:row>5</xdr:row>
      <xdr:rowOff>0</xdr:rowOff>
    </xdr:from>
    <xdr:to>
      <xdr:col>8</xdr:col>
      <xdr:colOff>829436</xdr:colOff>
      <xdr:row>9</xdr:row>
      <xdr:rowOff>38100</xdr:rowOff>
    </xdr:to>
    <xdr:sp macro="" textlink="">
      <xdr:nvSpPr>
        <xdr:cNvPr id="221" name="KPI 5 fondo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/>
      </xdr:nvSpPr>
      <xdr:spPr>
        <a:xfrm>
          <a:off x="10527990" y="952500"/>
          <a:ext cx="2376555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7</xdr:col>
      <xdr:colOff>994374</xdr:colOff>
      <xdr:row>5</xdr:row>
      <xdr:rowOff>133350</xdr:rowOff>
    </xdr:from>
    <xdr:to>
      <xdr:col>7</xdr:col>
      <xdr:colOff>1032474</xdr:colOff>
      <xdr:row>8</xdr:row>
      <xdr:rowOff>158749</xdr:rowOff>
    </xdr:to>
    <xdr:sp macro="" textlink="">
      <xdr:nvSpPr>
        <xdr:cNvPr id="222" name="KPI 5 acento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/>
      </xdr:nvSpPr>
      <xdr:spPr>
        <a:xfrm>
          <a:off x="10528300" y="1098550"/>
          <a:ext cx="38100" cy="787399"/>
        </a:xfrm>
        <a:prstGeom prst="rect">
          <a:avLst/>
        </a:prstGeom>
        <a:solidFill>
          <a:srgbClr val="F59E0B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7</xdr:col>
      <xdr:colOff>1137249</xdr:colOff>
      <xdr:row>5</xdr:row>
      <xdr:rowOff>114300</xdr:rowOff>
    </xdr:from>
    <xdr:to>
      <xdr:col>8</xdr:col>
      <xdr:colOff>734186</xdr:colOff>
      <xdr:row>6</xdr:row>
      <xdr:rowOff>12699</xdr:rowOff>
    </xdr:to>
    <xdr:sp macro="" textlink="">
      <xdr:nvSpPr>
        <xdr:cNvPr id="223" name="KPI 5 titulo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 txBox="1"/>
      </xdr:nvSpPr>
      <xdr:spPr>
        <a:xfrm>
          <a:off x="10671175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POR VENCER (≤30 DÍAS)</a:t>
          </a:r>
        </a:p>
      </xdr:txBody>
    </xdr:sp>
    <xdr:clientData fLocksWithSheet="0"/>
  </xdr:twoCellAnchor>
  <xdr:twoCellAnchor editAs="absolute">
    <xdr:from>
      <xdr:col>7</xdr:col>
      <xdr:colOff>1137249</xdr:colOff>
      <xdr:row>6</xdr:row>
      <xdr:rowOff>31749</xdr:rowOff>
    </xdr:from>
    <xdr:to>
      <xdr:col>8</xdr:col>
      <xdr:colOff>734186</xdr:colOff>
      <xdr:row>7</xdr:row>
      <xdr:rowOff>139699</xdr:rowOff>
    </xdr:to>
    <xdr:sp macro="" textlink="'Tabla dinamica'!$L$9">
      <xdr:nvSpPr>
        <xdr:cNvPr id="224" name="KPI 5 valor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 txBox="1"/>
      </xdr:nvSpPr>
      <xdr:spPr>
        <a:xfrm>
          <a:off x="10671175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A2BFFEA4-B607-4AD6-8693-475EB473B67F}" type="TxLink">
            <a:rPr lang="es-SV" sz="2600" b="1">
              <a:solidFill>
                <a:srgbClr val="FBBF24"/>
              </a:solidFill>
              <a:latin typeface="Arial Narrow"/>
              <a:cs typeface="Arial Narrow"/>
            </a:rPr>
            <a:pPr algn="l"/>
            <a:t>0</a:t>
          </a:fld>
          <a:endParaRPr lang="es-SV" sz="2600" b="1">
            <a:solidFill>
              <a:srgbClr val="FBBF24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7</xdr:col>
      <xdr:colOff>1137249</xdr:colOff>
      <xdr:row>7</xdr:row>
      <xdr:rowOff>177799</xdr:rowOff>
    </xdr:from>
    <xdr:to>
      <xdr:col>8</xdr:col>
      <xdr:colOff>734186</xdr:colOff>
      <xdr:row>8</xdr:row>
      <xdr:rowOff>95250</xdr:rowOff>
    </xdr:to>
    <xdr:sp macro="" textlink="'Tabla dinamica'!$M$9">
      <xdr:nvSpPr>
        <xdr:cNvPr id="225" name="KPI 5 detalle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 txBox="1"/>
      </xdr:nvSpPr>
      <xdr:spPr>
        <a:xfrm>
          <a:off x="10671175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24B26153-B325-472F-923A-ACAA02FD0E9D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Sin alertas próximas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8</xdr:col>
      <xdr:colOff>958023</xdr:colOff>
      <xdr:row>5</xdr:row>
      <xdr:rowOff>0</xdr:rowOff>
    </xdr:from>
    <xdr:to>
      <xdr:col>8</xdr:col>
      <xdr:colOff>3338227</xdr:colOff>
      <xdr:row>9</xdr:row>
      <xdr:rowOff>38100</xdr:rowOff>
    </xdr:to>
    <xdr:sp macro="" textlink="">
      <xdr:nvSpPr>
        <xdr:cNvPr id="226" name="KPI 6 fondo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/>
      </xdr:nvSpPr>
      <xdr:spPr>
        <a:xfrm>
          <a:off x="13033132" y="952500"/>
          <a:ext cx="2396333" cy="1032013"/>
        </a:xfrm>
        <a:prstGeom prst="roundRect">
          <a:avLst>
            <a:gd name="adj" fmla="val 9000"/>
          </a:avLst>
        </a:prstGeom>
        <a:solidFill>
          <a:srgbClr val="1A1D23"/>
        </a:solidFill>
        <a:ln w="9525">
          <a:solidFill>
            <a:srgbClr val="2E333C"/>
          </a:solidFill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8</xdr:col>
      <xdr:colOff>967548</xdr:colOff>
      <xdr:row>5</xdr:row>
      <xdr:rowOff>133350</xdr:rowOff>
    </xdr:from>
    <xdr:to>
      <xdr:col>8</xdr:col>
      <xdr:colOff>1005648</xdr:colOff>
      <xdr:row>8</xdr:row>
      <xdr:rowOff>158749</xdr:rowOff>
    </xdr:to>
    <xdr:sp macro="" textlink="">
      <xdr:nvSpPr>
        <xdr:cNvPr id="227" name="KPI 6 acento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>
          <a:off x="13041312" y="1098550"/>
          <a:ext cx="38100" cy="787399"/>
        </a:xfrm>
        <a:prstGeom prst="rect">
          <a:avLst/>
        </a:prstGeom>
        <a:solidFill>
          <a:srgbClr val="EF4444"/>
        </a:solidFill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8</xdr:col>
      <xdr:colOff>1104636</xdr:colOff>
      <xdr:row>5</xdr:row>
      <xdr:rowOff>114300</xdr:rowOff>
    </xdr:from>
    <xdr:to>
      <xdr:col>8</xdr:col>
      <xdr:colOff>3238214</xdr:colOff>
      <xdr:row>6</xdr:row>
      <xdr:rowOff>12699</xdr:rowOff>
    </xdr:to>
    <xdr:sp macro="" textlink="">
      <xdr:nvSpPr>
        <xdr:cNvPr id="228" name="KPI 6 titulo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 txBox="1"/>
      </xdr:nvSpPr>
      <xdr:spPr>
        <a:xfrm>
          <a:off x="13184187" y="1079500"/>
          <a:ext cx="2132012" cy="15240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r>
            <a:rPr lang="es-SV" sz="800" b="1">
              <a:solidFill>
                <a:srgbClr val="9CA3AF"/>
              </a:solidFill>
              <a:latin typeface="Arial"/>
              <a:cs typeface="Arial"/>
            </a:rPr>
            <a:t>VENCIDOS</a:t>
          </a:r>
        </a:p>
      </xdr:txBody>
    </xdr:sp>
    <xdr:clientData fLocksWithSheet="0"/>
  </xdr:twoCellAnchor>
  <xdr:twoCellAnchor editAs="absolute">
    <xdr:from>
      <xdr:col>8</xdr:col>
      <xdr:colOff>1104636</xdr:colOff>
      <xdr:row>6</xdr:row>
      <xdr:rowOff>31749</xdr:rowOff>
    </xdr:from>
    <xdr:to>
      <xdr:col>8</xdr:col>
      <xdr:colOff>3238214</xdr:colOff>
      <xdr:row>7</xdr:row>
      <xdr:rowOff>139699</xdr:rowOff>
    </xdr:to>
    <xdr:sp macro="" textlink="'Tabla dinamica'!$L$10">
      <xdr:nvSpPr>
        <xdr:cNvPr id="229" name="KPI 6 valor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 txBox="1"/>
      </xdr:nvSpPr>
      <xdr:spPr>
        <a:xfrm>
          <a:off x="13184187" y="1250949"/>
          <a:ext cx="2132012" cy="3619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algn="l"/>
          <a:fld id="{E0B95FCE-5A6F-412D-83A4-7A5382FF1E01}" type="TxLink">
            <a:rPr lang="es-SV" sz="2600" b="1">
              <a:solidFill>
                <a:srgbClr val="F87171"/>
              </a:solidFill>
              <a:latin typeface="Arial Narrow"/>
              <a:cs typeface="Arial Narrow"/>
            </a:rPr>
            <a:pPr algn="l"/>
            <a:t>0</a:t>
          </a:fld>
          <a:endParaRPr lang="es-SV" sz="2600" b="1">
            <a:solidFill>
              <a:srgbClr val="F87171"/>
            </a:solidFill>
            <a:latin typeface="Arial Narrow"/>
            <a:cs typeface="Arial Narrow"/>
          </a:endParaRPr>
        </a:p>
      </xdr:txBody>
    </xdr:sp>
    <xdr:clientData fLocksWithSheet="0"/>
  </xdr:twoCellAnchor>
  <xdr:twoCellAnchor editAs="absolute">
    <xdr:from>
      <xdr:col>8</xdr:col>
      <xdr:colOff>1104636</xdr:colOff>
      <xdr:row>7</xdr:row>
      <xdr:rowOff>177799</xdr:rowOff>
    </xdr:from>
    <xdr:to>
      <xdr:col>8</xdr:col>
      <xdr:colOff>3238214</xdr:colOff>
      <xdr:row>8</xdr:row>
      <xdr:rowOff>95250</xdr:rowOff>
    </xdr:to>
    <xdr:sp macro="" textlink="'Tabla dinamica'!$M$10">
      <xdr:nvSpPr>
        <xdr:cNvPr id="230" name="KPI 6 detalle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 txBox="1"/>
      </xdr:nvSpPr>
      <xdr:spPr>
        <a:xfrm>
          <a:off x="13184187" y="1650999"/>
          <a:ext cx="2132012" cy="17145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algn="l"/>
          <a:fld id="{6B242C1C-2348-4C35-A138-259D71280681}" type="TxLink">
            <a:rPr lang="es-SV" sz="900" b="0">
              <a:solidFill>
                <a:srgbClr val="9CA3AF"/>
              </a:solidFill>
              <a:latin typeface="Arial"/>
              <a:cs typeface="Arial"/>
            </a:rPr>
            <a:pPr algn="l"/>
            <a:t>Sin documentos vencidos</a:t>
          </a:fld>
          <a:endParaRPr lang="es-SV" sz="900" b="0">
            <a:solidFill>
              <a:srgbClr val="9CA3AF"/>
            </a:solidFill>
            <a:latin typeface="Arial"/>
            <a:cs typeface="Arial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638174</xdr:colOff>
      <xdr:row>1</xdr:row>
      <xdr:rowOff>76200</xdr:rowOff>
    </xdr:from>
    <xdr:to>
      <xdr:col>5</xdr:col>
      <xdr:colOff>533399</xdr:colOff>
      <xdr:row>5</xdr:row>
      <xdr:rowOff>123826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319AE3F7-C925-6F67-A896-116DFD3951E9}"/>
            </a:ext>
          </a:extLst>
        </xdr:cNvPr>
        <xdr:cNvSpPr txBox="1"/>
      </xdr:nvSpPr>
      <xdr:spPr>
        <a:xfrm>
          <a:off x="9820274" y="266700"/>
          <a:ext cx="2181225" cy="809626"/>
        </a:xfrm>
        <a:prstGeom prst="rect">
          <a:avLst/>
        </a:prstGeom>
        <a:gradFill>
          <a:gsLst>
            <a:gs pos="0">
              <a:srgbClr val="FDF2ED"/>
            </a:gs>
            <a:gs pos="43000">
              <a:srgbClr val="FCDCC8"/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SV"/>
            <a:t>Para agregar un documento, escríbelo en la primera fila vacía de la tabla. Para dejar de pedirlo, cambia Activo a "No"..✨</a:t>
          </a:r>
          <a:endParaRPr lang="es-SV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santia STYBA" refreshedDate="46317.368003587966" createdVersion="8" refreshedVersion="8" minRefreshableVersion="3" recordCount="66" xr:uid="{936AB6AB-1D07-416D-BF9F-AA0E0216E3B0}">
  <cacheSource type="worksheet">
    <worksheetSource name="Tabla1"/>
  </cacheSource>
  <cacheFields count="8">
    <cacheField name="ID Cliente" numFmtId="0">
      <sharedItems/>
    </cacheField>
    <cacheField name="Nombre Cliente" numFmtId="0">
      <sharedItems/>
    </cacheField>
    <cacheField name="Tipo de Documento" numFmtId="0">
      <sharedItems/>
    </cacheField>
    <cacheField name="Estado de entrega" numFmtId="0">
      <sharedItems/>
    </cacheField>
    <cacheField name="Fecha Vencimiento" numFmtId="165">
      <sharedItems containsNonDate="0" containsDate="1" containsString="0" containsBlank="1" minDate="2026-10-08T00:00:00" maxDate="2031-10-27T00:00:00"/>
    </cacheField>
    <cacheField name="Días para Vencer" numFmtId="0">
      <sharedItems containsMixedTypes="1" containsNumber="1" containsInteger="1" minValue="-14" maxValue="1830"/>
    </cacheField>
    <cacheField name="Estado_vigencia" numFmtId="0">
      <sharedItems count="4">
        <s v="Vigente"/>
        <s v="Alerta"/>
        <s v="N/A"/>
        <s v="Vencido"/>
      </sharedItems>
    </cacheField>
    <cacheField name="Estatus Cl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s v="c-003"/>
    <s v="amanda"/>
    <s v="Formulario &quot;Conozca a su Cliente Persona Jurídica o Persona Natural&quot;"/>
    <s v="Pendiente"/>
    <m/>
    <s v="Sin fecha"/>
    <x v="0"/>
    <s v="Activo"/>
  </r>
  <r>
    <s v="c-003"/>
    <s v="amanda"/>
    <s v="Fotocopia de la Escritura de Constitución, Modificaciones al pacto social de la entidad debidamente inscrita en el Registro de Comercio."/>
    <s v="Pendiente"/>
    <m/>
    <s v="Sin fecha"/>
    <x v="0"/>
    <s v="Activo"/>
  </r>
  <r>
    <s v="c-003"/>
    <s v="amanda"/>
    <s v="Fotocopia de la Escritura de Constitución y Modificaciones al pacto social de la entidad debidamente apostillada (en caso fuera extranjera)"/>
    <s v="Pendiente"/>
    <m/>
    <s v="Sin fecha"/>
    <x v="0"/>
    <s v="Activo"/>
  </r>
  <r>
    <s v="c-003"/>
    <s v="amanda"/>
    <s v="Fotocopia de credencial vigente, debidamente inscrita en el Registro de Comercio del Representante o del Apoderado"/>
    <s v="Pendiente"/>
    <m/>
    <s v="Sin fecha"/>
    <x v="0"/>
    <s v="Activo"/>
  </r>
  <r>
    <s v="c-003"/>
    <s v="amanda"/>
    <s v="Fotocopia de Tarjeta de Identificación Tributaria de la Entidad (NIT)"/>
    <s v="Pendiente"/>
    <m/>
    <s v="Sin fecha"/>
    <x v="0"/>
    <s v="Activo"/>
  </r>
  <r>
    <s v="c-003"/>
    <s v="amanda"/>
    <s v="Fotocopia de Registro de Contribuyente de la Entidad (NRC)"/>
    <s v="Pendiente"/>
    <m/>
    <s v="Sin fecha"/>
    <x v="0"/>
    <s v="Activo"/>
  </r>
  <r>
    <s v="c-003"/>
    <s v="amanda"/>
    <s v="Original o fotocopia de Comprobante de Domicilio de la Entidad (Recibo de Agua, Luz o Teléfono con antigüedad no mayor a 6 meses)"/>
    <s v="Pendiente"/>
    <m/>
    <s v="Sin fecha"/>
    <x v="0"/>
    <s v="Activo"/>
  </r>
  <r>
    <s v="c-003"/>
    <s v="amanda"/>
    <s v="Fotocopia de Tarjeta de Identificación Tributaria (NIT) del Representante Legal o Apoderado (Extranjeros)"/>
    <s v="Pendiente"/>
    <m/>
    <s v="Sin fecha"/>
    <x v="0"/>
    <s v="Activo"/>
  </r>
  <r>
    <s v="c-003"/>
    <s v="amanda"/>
    <s v="Fotocopia de Documento Unico de Identidad (DUI) vigente y legible Pasaporte o Carnet de Residente del Representante Legal"/>
    <s v="Pendiente"/>
    <m/>
    <s v="Sin fecha"/>
    <x v="0"/>
    <s v="Activo"/>
  </r>
  <r>
    <s v="c-003"/>
    <s v="amanda"/>
    <s v="Fotocopia de poder otorgado a favor de la persona compareciente a la comprar o servicio solicitado (cuando aplique)"/>
    <s v="Pendiente"/>
    <m/>
    <s v="Sin fecha"/>
    <x v="0"/>
    <s v="Activo"/>
  </r>
  <r>
    <s v="c-003"/>
    <s v="amanda"/>
    <s v="Solicitud de Crédito"/>
    <s v="Pendiente"/>
    <m/>
    <s v="Sin fecha"/>
    <x v="0"/>
    <s v="Activo"/>
  </r>
  <r>
    <s v="c-003"/>
    <s v="amanda"/>
    <s v="Oferta de Servicios firmada"/>
    <s v="Pendiente"/>
    <m/>
    <s v="Sin fecha"/>
    <x v="0"/>
    <s v="Activo"/>
  </r>
  <r>
    <s v="c-003"/>
    <s v="amanda"/>
    <s v="Contratos firmados"/>
    <s v="Pendiente"/>
    <m/>
    <s v="Sin fecha"/>
    <x v="0"/>
    <s v="Activo"/>
  </r>
  <r>
    <s v="c-003"/>
    <s v="amanda"/>
    <s v="Pagaré"/>
    <s v="Pendiente"/>
    <m/>
    <s v="Sin fecha"/>
    <x v="0"/>
    <s v="Activo"/>
  </r>
  <r>
    <s v="c-003"/>
    <s v="amanda"/>
    <s v="Nuevo documento"/>
    <s v="Pendiente"/>
    <m/>
    <s v="Sin fecha"/>
    <x v="0"/>
    <s v="Activo"/>
  </r>
  <r>
    <s v="c-003"/>
    <s v="amanda"/>
    <s v="nuevo 2"/>
    <s v="Pendiente"/>
    <m/>
    <s v="Sin fecha"/>
    <x v="0"/>
    <s v="Activo"/>
  </r>
  <r>
    <s v="CLIENTE1"/>
    <s v="CLIENTE1"/>
    <s v="Formulario &quot;Conozca a su Cliente Persona Jurídica o Persona Natural&quot;"/>
    <s v="Entregado"/>
    <d v="2026-10-25T00:00:00"/>
    <n v="3"/>
    <x v="1"/>
    <s v="Activo"/>
  </r>
  <r>
    <s v="CLIENTE1"/>
    <s v="CLIENTE1"/>
    <s v="Fotocopia de la Escritura de Constitución, Modificaciones al pacto social de la entidad debidamente inscrita en el Registro de Comercio."/>
    <s v="Pendiente"/>
    <m/>
    <s v="Sin fecha"/>
    <x v="0"/>
    <s v="Activo"/>
  </r>
  <r>
    <s v="CLIENTE1"/>
    <s v="CLIENTE1"/>
    <s v="Fotocopia de la Escritura de Constitución y Modificaciones al pacto social de la entidad debidamente apostillada (en caso fuera extranjera)"/>
    <s v="No aplica"/>
    <m/>
    <s v="Sin fecha"/>
    <x v="2"/>
    <s v="Activo"/>
  </r>
  <r>
    <s v="CLIENTE1"/>
    <s v="CLIENTE1"/>
    <s v="Fotocopia de credencial vigente, debidamente inscrita en el Registro de Comercio del Representante o del Apoderado"/>
    <s v="Pendiente"/>
    <m/>
    <s v="Sin fecha"/>
    <x v="0"/>
    <s v="Activo"/>
  </r>
  <r>
    <s v="CLIENTE1"/>
    <s v="CLIENTE1"/>
    <s v="Fotocopia de Tarjeta de Identificación Tributaria de la Entidad (NIT)"/>
    <s v="No aplica"/>
    <m/>
    <s v="N/A"/>
    <x v="2"/>
    <s v="Activo"/>
  </r>
  <r>
    <s v="CLIENTE1"/>
    <s v="CLIENTE1"/>
    <s v="Fotocopia de Registro de Contribuyente de la Entidad (NRC)"/>
    <s v="Pendiente"/>
    <m/>
    <s v="Sin fecha"/>
    <x v="0"/>
    <s v="Activo"/>
  </r>
  <r>
    <s v="CLIENTE1"/>
    <s v="CLIENTE1"/>
    <s v="Original o fotocopia de Comprobante de Domicilio de la Entidad (Recibo de Agua, Luz o Teléfono con antigüedad no mayor a 6 meses)"/>
    <s v="No aplica"/>
    <m/>
    <s v="N/A"/>
    <x v="2"/>
    <s v="Activo"/>
  </r>
  <r>
    <s v="CLIENTE1"/>
    <s v="CLIENTE1"/>
    <s v="Fotocopia de Tarjeta de Identificación Tributaria (NIT) del Representante Legal o Apoderado (Extranjeros)"/>
    <s v="Pendiente"/>
    <m/>
    <s v="Sin fecha"/>
    <x v="0"/>
    <s v="Activo"/>
  </r>
  <r>
    <s v="CLIENTE1"/>
    <s v="CLIENTE1"/>
    <s v="Fotocopia de Documento Unico de Identidad (DUI) vigente y legible Pasaporte o Carnet de Residente del Representante Legal"/>
    <s v="Pendiente"/>
    <m/>
    <s v="Sin fecha"/>
    <x v="0"/>
    <s v="Activo"/>
  </r>
  <r>
    <s v="CLIENTE1"/>
    <s v="CLIENTE1"/>
    <s v="Fotocopia de poder otorgado a favor de la persona compareciente a la comprar o servicio solicitado (cuando aplique)"/>
    <s v="Pendiente"/>
    <m/>
    <s v="Sin fecha"/>
    <x v="0"/>
    <s v="Activo"/>
  </r>
  <r>
    <s v="CLIENTE1"/>
    <s v="CLIENTE1"/>
    <s v="Solicitud de Crédito"/>
    <s v="Pendiente"/>
    <m/>
    <s v="Sin fecha"/>
    <x v="0"/>
    <s v="Activo"/>
  </r>
  <r>
    <s v="CLIENTE1"/>
    <s v="CLIENTE1"/>
    <s v="Oferta de Servicios firmada"/>
    <s v="Pendiente"/>
    <m/>
    <s v="Sin fecha"/>
    <x v="0"/>
    <s v="Activo"/>
  </r>
  <r>
    <s v="CLIENTE1"/>
    <s v="CLIENTE1"/>
    <s v="Contratos firmados"/>
    <s v="Pendiente"/>
    <m/>
    <s v="Sin fecha"/>
    <x v="0"/>
    <s v="Activo"/>
  </r>
  <r>
    <s v="CLIENTE1"/>
    <s v="CLIENTE1"/>
    <s v="Pagaré"/>
    <s v="Pendiente"/>
    <m/>
    <s v="Sin fecha"/>
    <x v="0"/>
    <s v="Activo"/>
  </r>
  <r>
    <s v="CLIENTE1"/>
    <s v="CLIENTE1"/>
    <s v="Nuevo documento"/>
    <s v="Pendiente"/>
    <m/>
    <s v="Sin fecha"/>
    <x v="0"/>
    <s v="Activo"/>
  </r>
  <r>
    <s v="CLIENTE1"/>
    <s v="CLIENTE1"/>
    <s v="nuevo 2"/>
    <s v="Pendiente"/>
    <m/>
    <s v="Sin fecha"/>
    <x v="0"/>
    <s v="Activo"/>
  </r>
  <r>
    <s v="CLIENTE2"/>
    <s v="CLIENTE2"/>
    <s v="Formulario &quot;Conozca a su Cliente Persona Jurídica o Persona Natural&quot;"/>
    <s v="Pendiente"/>
    <d v="2026-10-31T00:00:00"/>
    <n v="9"/>
    <x v="1"/>
    <s v="Activo"/>
  </r>
  <r>
    <s v="CLIENTE2"/>
    <s v="CLIENTE2"/>
    <s v="Fotocopia de la Escritura de Constitución, Modificaciones al pacto social de la entidad debidamente inscrita en el Registro de Comercio."/>
    <s v="Pendiente"/>
    <d v="2031-10-26T00:00:00"/>
    <n v="1830"/>
    <x v="0"/>
    <s v="Activo"/>
  </r>
  <r>
    <s v="CLIENTE2"/>
    <s v="CLIENTE2"/>
    <s v="Fotocopia de la Escritura de Constitución y Modificaciones al pacto social de la entidad debidamente apostillada (en caso fuera extranjera)"/>
    <s v="No aplica"/>
    <m/>
    <s v="N/A"/>
    <x v="2"/>
    <s v="Activo"/>
  </r>
  <r>
    <s v="CLIENTE2"/>
    <s v="CLIENTE2"/>
    <s v="Fotocopia de credencial vigente, debidamente inscrita en el Registro de Comercio del Representante o del Apoderado"/>
    <s v="Entregado"/>
    <d v="2026-10-31T00:00:00"/>
    <n v="9"/>
    <x v="1"/>
    <s v="Activo"/>
  </r>
  <r>
    <s v="CLIENTE2"/>
    <s v="CLIENTE2"/>
    <s v="Fotocopia de Tarjeta de Identificación Tributaria de la Entidad (NIT)"/>
    <s v="Entregado"/>
    <d v="2026-10-08T00:00:00"/>
    <n v="-14"/>
    <x v="3"/>
    <s v="Activo"/>
  </r>
  <r>
    <s v="CLIENTE2"/>
    <s v="CLIENTE2"/>
    <s v="Fotocopia de Registro de Contribuyente de la Entidad (NRC)"/>
    <s v="Pendiente"/>
    <m/>
    <s v="Sin fecha"/>
    <x v="0"/>
    <s v="Activo"/>
  </r>
  <r>
    <s v="CLIENTE2"/>
    <s v="CLIENTE2"/>
    <s v="Original o fotocopia de Comprobante de Domicilio de la Entidad (Recibo de Agua, Luz o Teléfono con antigüedad no mayor a 6 meses)"/>
    <s v="Entregado"/>
    <d v="2030-10-26T00:00:00"/>
    <n v="1465"/>
    <x v="0"/>
    <s v="Activo"/>
  </r>
  <r>
    <s v="CLIENTE2"/>
    <s v="CLIENTE2"/>
    <s v="Fotocopia de Tarjeta de Identificación Tributaria (NIT) del Representante Legal o Apoderado (Extranjeros)"/>
    <s v="No aplica"/>
    <m/>
    <s v="N/A"/>
    <x v="2"/>
    <s v="Activo"/>
  </r>
  <r>
    <s v="CLIENTE2"/>
    <s v="CLIENTE2"/>
    <s v="Fotocopia de Documento Unico de Identidad (DUI) vigente y legible Pasaporte o Carnet de Residente del Representante Legal"/>
    <s v="Pendiente"/>
    <d v="2026-10-31T00:00:00"/>
    <n v="9"/>
    <x v="1"/>
    <s v="Activo"/>
  </r>
  <r>
    <s v="CLIENTE2"/>
    <s v="CLIENTE2"/>
    <s v="Fotocopia de poder otorgado a favor de la persona compareciente a la comprar o servicio solicitado (cuando aplique)"/>
    <s v="Pendiente"/>
    <m/>
    <s v="Sin fecha"/>
    <x v="0"/>
    <s v="Activo"/>
  </r>
  <r>
    <s v="CLIENTE2"/>
    <s v="CLIENTE2"/>
    <s v="Solicitud de Crédito"/>
    <s v="No aplica"/>
    <m/>
    <s v="N/A"/>
    <x v="2"/>
    <s v="Activo"/>
  </r>
  <r>
    <s v="CLIENTE2"/>
    <s v="CLIENTE2"/>
    <s v="Oferta de Servicios firmada"/>
    <s v="Entregado"/>
    <d v="2031-10-17T00:00:00"/>
    <n v="1821"/>
    <x v="0"/>
    <s v="Activo"/>
  </r>
  <r>
    <s v="CLIENTE2"/>
    <s v="CLIENTE2"/>
    <s v="Contratos firmados"/>
    <s v="Pendiente"/>
    <m/>
    <s v="Sin fecha"/>
    <x v="0"/>
    <s v="Activo"/>
  </r>
  <r>
    <s v="CLIENTE2"/>
    <s v="CLIENTE2"/>
    <s v="Pagaré"/>
    <s v="Pendiente"/>
    <m/>
    <s v="Sin fecha"/>
    <x v="0"/>
    <s v="Activo"/>
  </r>
  <r>
    <s v="CLIENTE2"/>
    <s v="CLIENTE2"/>
    <s v="Nuevo documento"/>
    <s v="Pendiente"/>
    <m/>
    <s v="Sin fecha"/>
    <x v="0"/>
    <s v="Activo"/>
  </r>
  <r>
    <s v="CLIENTE2"/>
    <s v="CLIENTE2"/>
    <s v="nuevo 2"/>
    <s v="Pendiente"/>
    <m/>
    <s v="Sin fecha"/>
    <x v="0"/>
    <s v="Activo"/>
  </r>
  <r>
    <s v="a"/>
    <s v="zzz"/>
    <s v="Formulario &quot;Conozca a su Cliente Persona Jurídica o Persona Natural&quot;"/>
    <s v="Pendiente"/>
    <m/>
    <s v="Sin fecha"/>
    <x v="0"/>
    <s v="Activo"/>
  </r>
  <r>
    <s v="a"/>
    <s v="zzz"/>
    <s v="Fotocopia de la Escritura de Constitución, Modificaciones al pacto social de la entidad debidamente inscrita en el Registro de Comercio."/>
    <s v="Pendiente"/>
    <m/>
    <s v="Sin fecha"/>
    <x v="0"/>
    <s v="Activo"/>
  </r>
  <r>
    <s v="a"/>
    <s v="zzz"/>
    <s v="Fotocopia de la Escritura de Constitución y Modificaciones al pacto social de la entidad debidamente apostillada (en caso fuera extranjera)"/>
    <s v="Pendiente"/>
    <m/>
    <s v="Sin fecha"/>
    <x v="0"/>
    <s v="Activo"/>
  </r>
  <r>
    <s v="a"/>
    <s v="zzz"/>
    <s v="Fotocopia de credencial vigente, debidamente inscrita en el Registro de Comercio del Representante o del Apoderado"/>
    <s v="Pendiente"/>
    <m/>
    <s v="Sin fecha"/>
    <x v="0"/>
    <s v="Activo"/>
  </r>
  <r>
    <s v="a"/>
    <s v="zzz"/>
    <s v="Fotocopia de Tarjeta de Identificación Tributaria de la Entidad (NIT)"/>
    <s v="Pendiente"/>
    <m/>
    <s v="Sin fecha"/>
    <x v="0"/>
    <s v="Activo"/>
  </r>
  <r>
    <s v="a"/>
    <s v="zzz"/>
    <s v="Fotocopia de Registro de Contribuyente de la Entidad (NRC)"/>
    <s v="Pendiente"/>
    <m/>
    <s v="Sin fecha"/>
    <x v="0"/>
    <s v="Activo"/>
  </r>
  <r>
    <s v="a"/>
    <s v="zzz"/>
    <s v="Original o fotocopia de Comprobante de Domicilio de la Entidad (Recibo de Agua, Luz o Teléfono con antigüedad no mayor a 6 meses)"/>
    <s v="Pendiente"/>
    <m/>
    <s v="Sin fecha"/>
    <x v="0"/>
    <s v="Activo"/>
  </r>
  <r>
    <s v="a"/>
    <s v="zzz"/>
    <s v="Fotocopia de Tarjeta de Identificación Tributaria (NIT) del Representante Legal o Apoderado (Extranjeros)"/>
    <s v="Pendiente"/>
    <m/>
    <s v="Sin fecha"/>
    <x v="0"/>
    <s v="Activo"/>
  </r>
  <r>
    <s v="a"/>
    <s v="zzz"/>
    <s v="Fotocopia de Documento Unico de Identidad (DUI) vigente y legible Pasaporte o Carnet de Residente del Representante Legal"/>
    <s v="Pendiente"/>
    <m/>
    <s v="Sin fecha"/>
    <x v="0"/>
    <s v="Activo"/>
  </r>
  <r>
    <s v="a"/>
    <s v="zzz"/>
    <s v="Fotocopia de poder otorgado a favor de la persona compareciente a la comprar o servicio solicitado (cuando aplique)"/>
    <s v="Pendiente"/>
    <m/>
    <s v="Sin fecha"/>
    <x v="0"/>
    <s v="Activo"/>
  </r>
  <r>
    <s v="a"/>
    <s v="zzz"/>
    <s v="Solicitud de Crédito"/>
    <s v="Pendiente"/>
    <m/>
    <s v="Sin fecha"/>
    <x v="0"/>
    <s v="Activo"/>
  </r>
  <r>
    <s v="a"/>
    <s v="zzz"/>
    <s v="Oferta de Servicios firmada"/>
    <s v="Pendiente"/>
    <m/>
    <s v="Sin fecha"/>
    <x v="0"/>
    <s v="Activo"/>
  </r>
  <r>
    <s v="a"/>
    <s v="zzz"/>
    <s v="Contratos firmados"/>
    <s v="Pendiente"/>
    <m/>
    <s v="Sin fecha"/>
    <x v="0"/>
    <s v="Activo"/>
  </r>
  <r>
    <s v="a"/>
    <s v="zzz"/>
    <s v="Pagaré"/>
    <s v="Pendiente"/>
    <m/>
    <s v="Sin fecha"/>
    <x v="0"/>
    <s v="Activo"/>
  </r>
  <r>
    <s v="c-003"/>
    <s v="amanda"/>
    <s v="nuevo"/>
    <s v="Pendiente"/>
    <m/>
    <s v="Sin fecha"/>
    <x v="0"/>
    <s v="Activo"/>
  </r>
  <r>
    <s v="CLIENTE1"/>
    <s v="CLIENTE1"/>
    <s v="nuevo"/>
    <s v="Pendiente"/>
    <m/>
    <s v="Sin fecha"/>
    <x v="0"/>
    <s v="Activo"/>
  </r>
  <r>
    <s v="CLIENTE2"/>
    <s v="CLIENTE2"/>
    <s v="nuevo"/>
    <s v="Pendiente"/>
    <m/>
    <s v="Sin fecha"/>
    <x v="0"/>
    <s v="Activo"/>
  </r>
  <r>
    <s v="a"/>
    <s v="zzz"/>
    <s v="nuevo"/>
    <s v="Pendiente"/>
    <m/>
    <s v="Sin fecha"/>
    <x v="0"/>
    <s v="Activ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99C9B-DF93-463E-BB1C-71083567F31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:C10" firstHeaderRow="1" firstDataRow="1" firstDataCol="1"/>
  <pivotFields count="8">
    <pivotField showAll="0"/>
    <pivotField dataField="1" showAll="0"/>
    <pivotField showAll="0"/>
    <pivotField showAll="0"/>
    <pivotField showAll="0"/>
    <pivotField showAll="0"/>
    <pivotField axis="axisRow" showAll="0">
      <items count="5">
        <item x="1"/>
        <item x="3"/>
        <item x="0"/>
        <item x="2"/>
        <item t="default"/>
      </items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Nombre Client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tus_Cliente" xr10:uid="{59C563EF-0628-478D-B4EA-8667585F3912}" sourceName="Estatus Cliente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tus Cliente" xr10:uid="{A966BAC0-1F2A-4D63-B966-23C8EBE776C8}" cache="SegmentaciónDeDatos_Estatus_Cliente" caption="Estatus Cliente" style="diseño_styba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910308-3853-448C-B4FA-842A97951824}" name="TablaClientes" displayName="TablaClientes" ref="A1:C2" totalsRowShown="0" headerRowDxfId="60">
  <autoFilter ref="A1:C2" xr:uid="{D2910308-3853-448C-B4FA-842A97951824}"/>
  <sortState xmlns:xlrd2="http://schemas.microsoft.com/office/spreadsheetml/2017/richdata2" ref="A2:C2">
    <sortCondition ref="B1:B2"/>
  </sortState>
  <tableColumns count="3">
    <tableColumn id="1" xr3:uid="{CE91DF7C-42E6-4BBC-B746-4905C6F189DE}" name="ID Cliente"/>
    <tableColumn id="2" xr3:uid="{EAD0CDD0-73A3-4EDA-9279-9F63458448AD}" name="Nombre Cliente"/>
    <tableColumn id="3" xr3:uid="{C53B3E06-1E3B-4CE1-86F6-6F268146E767}" name="Estatus"/>
  </tableColumns>
  <tableStyleInfo name="Estilo_Styb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D92AC-4B69-4B53-93FD-9B0B9F18D40D}" name="Tabla1" displayName="Tabla1" ref="A1:H2" insertRow="1" totalsRowShown="0" headerRowDxfId="59" dataDxfId="58" tableBorderDxfId="57" totalsRowBorderDxfId="56" headerRowCellStyle="Normal">
  <autoFilter ref="A1:H2" xr:uid="{55ED92AC-4B69-4B53-93FD-9B0B9F18D40D}"/>
  <sortState xmlns:xlrd2="http://schemas.microsoft.com/office/spreadsheetml/2017/richdata2" ref="A2:H2">
    <sortCondition ref="B1:B2"/>
  </sortState>
  <tableColumns count="8">
    <tableColumn id="1" xr3:uid="{648704AD-589A-4B8E-B761-80AE44EFD23B}" name="ID Cliente" dataDxfId="55"/>
    <tableColumn id="2" xr3:uid="{8C8AE456-8135-4C45-AFBA-504F9517C753}" name="Nombre Cliente" dataDxfId="54"/>
    <tableColumn id="3" xr3:uid="{94C43B6A-3BAE-4C8B-9642-F1088694E8A6}" name="Tipo de Documento" dataDxfId="53"/>
    <tableColumn id="4" xr3:uid="{A7E33851-3087-4355-B49B-EE06C4DDC7B0}" name="Estado de entrega" dataDxfId="52"/>
    <tableColumn id="5" xr3:uid="{E269C8D8-FFEA-4BA8-A7AD-1646B512C263}" name="Fecha Vencimiento" dataDxfId="51"/>
    <tableColumn id="6" xr3:uid="{382C2C93-C2EC-4D16-AA51-C086460C9A10}" name="Días para Vencer" dataDxfId="50">
      <calculatedColumnFormula>IF(Tabla1[[#This Row],[Estado de entrega]]="No aplica", "N/A", IF(Tabla1[[#This Row],[Fecha Vencimiento]]="", "Sin fecha", Tabla1[[#This Row],[Fecha Vencimiento]]-TODAY()))</calculatedColumnFormula>
    </tableColumn>
    <tableColumn id="7" xr3:uid="{CE402DB2-98A7-4A43-86E3-90568DA13E98}" name="Estado_vigencia" dataDxfId="49">
      <calculatedColumnFormula>IF(Tabla1[[#This Row],[Estado de entrega]]="No aplica", "No aplica", IF(Tabla1[[#This Row],[Estado de entrega]]="Pendiente", "No aplica", IF(Tabla1[[#This Row],[Días para Vencer]]="","", IF(Tabla1[[#This Row],[Días para Vencer]]&lt;0,"Vencido", IF(Tabla1[[#This Row],[Días para Vencer]]&lt;=30,"Alerta","Vigente")))))</calculatedColumnFormula>
    </tableColumn>
    <tableColumn id="8" xr3:uid="{E1DDAB0A-D963-46D0-9A35-45A118934D2B}" name="Estatus Cliente" dataDxfId="48">
      <calculatedColumnFormula>VLOOKUP(Tabla1[[#This Row],[ID Cliente]], TablaClientes[], 3, FALSE)</calculatedColumnFormula>
    </tableColumn>
  </tableColumns>
  <tableStyleInfo name="Estilo_Styb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5356AA-E274-4517-8E9B-1215BBB3C8BF}" name="TablaDocumentos" displayName="TablaDocumentos" ref="A1:B15" totalsRowShown="0" headerRowBorderDxfId="61">
  <autoFilter ref="A1:B15" xr:uid="{E75356AA-E274-4517-8E9B-1215BBB3C8BF}"/>
  <tableColumns count="2">
    <tableColumn id="1" xr3:uid="{8D156BB7-4A39-4F96-9CAE-48EB552349B9}" name="Documento"/>
    <tableColumn id="2" xr3:uid="{6EB1D154-EF8C-4402-B535-3B2326A575CB}" name="Activo"/>
  </tableColumns>
  <tableStyleInfo name="Estilo_Styba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1195-557D-43FF-A091-ED5B05F9D508}">
  <sheetPr codeName="Hoja4">
    <tabColor rgb="FF9CA3AF"/>
  </sheetPr>
  <dimension ref="A1:C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/>
  <cols>
    <col min="1" max="1" width="12.28515625" customWidth="1"/>
    <col min="2" max="2" width="17.5703125" customWidth="1"/>
    <col min="3" max="3" width="10" bestFit="1" customWidth="1"/>
  </cols>
  <sheetData>
    <row r="1" spans="1:3" ht="26.1" customHeight="1">
      <c r="A1" s="10" t="s">
        <v>0</v>
      </c>
      <c r="B1" s="10" t="s">
        <v>1</v>
      </c>
      <c r="C1" s="10" t="s">
        <v>15</v>
      </c>
    </row>
  </sheetData>
  <phoneticPr fontId="2" type="noConversion"/>
  <conditionalFormatting sqref="C2:C954">
    <cfRule type="cellIs" dxfId="47" priority="109" operator="equal">
      <formula>"Activo"</formula>
    </cfRule>
    <cfRule type="cellIs" dxfId="46" priority="110" operator="equal">
      <formula>"Inactivo"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Estatus" prompt="Seleccione Activo o Inactivo." xr:uid="{AD2B290A-0579-4F8E-99E0-0E9D19118AA9}">
          <x14:formula1>
            <xm:f>'Tabla dinamica'!$I$2:$I$3</xm:f>
          </x14:formula1>
          <xm:sqref>C2:C954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27EE3-0066-4D92-94A0-048AE2BFCBE2}">
  <sheetPr codeName="Hoja1">
    <tabColor rgb="FF1F2937"/>
  </sheetPr>
  <dimension ref="A1:H2"/>
  <sheetViews>
    <sheetView showGridLines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/>
  <cols>
    <col min="1" max="1" width="12" style="4" customWidth="1"/>
    <col min="2" max="2" width="22" style="4" customWidth="1"/>
    <col min="3" max="3" width="64" style="4" customWidth="1"/>
    <col min="4" max="5" width="17" style="4" customWidth="1"/>
    <col min="6" max="6" width="15" customWidth="1"/>
    <col min="7" max="7" width="16" customWidth="1"/>
    <col min="8" max="8" width="15" customWidth="1"/>
  </cols>
  <sheetData>
    <row r="1" spans="1:8" ht="32.1" customHeight="1" thickBot="1">
      <c r="A1" s="42" t="s">
        <v>0</v>
      </c>
      <c r="B1" s="42" t="s">
        <v>1</v>
      </c>
      <c r="C1" s="42" t="s">
        <v>2</v>
      </c>
      <c r="D1" s="42" t="s">
        <v>14</v>
      </c>
      <c r="E1" s="42" t="s">
        <v>3</v>
      </c>
      <c r="F1" s="43" t="s">
        <v>6</v>
      </c>
      <c r="G1" s="43" t="s">
        <v>9</v>
      </c>
      <c r="H1" s="43" t="s">
        <v>20</v>
      </c>
    </row>
    <row r="2" spans="1:8" ht="15.75" thickBot="1">
      <c r="A2" s="65"/>
      <c r="B2" s="65"/>
      <c r="C2" s="65"/>
      <c r="D2" s="65"/>
      <c r="E2" s="66"/>
      <c r="F2" s="67"/>
      <c r="G2" s="67"/>
      <c r="H2" s="68"/>
    </row>
  </sheetData>
  <sheetProtection formatCells="0" formatColumns="0" formatRows="0" insertRows="0" deleteRows="0" sort="0" autoFilter="0"/>
  <phoneticPr fontId="2" type="noConversion"/>
  <conditionalFormatting sqref="F3:F1851">
    <cfRule type="expression" priority="3" stopIfTrue="1">
      <formula>$A3=""</formula>
    </cfRule>
    <cfRule type="cellIs" dxfId="45" priority="6" operator="lessThan">
      <formula>0</formula>
    </cfRule>
    <cfRule type="containsText" dxfId="44" priority="7" operator="containsText" text="Sin Fecha">
      <formula>NOT(ISERROR(SEARCH("Sin Fecha",F3)))</formula>
    </cfRule>
    <cfRule type="cellIs" dxfId="43" priority="8" operator="greaterThan">
      <formula>30</formula>
    </cfRule>
    <cfRule type="cellIs" dxfId="42" priority="10" operator="lessThan">
      <formula>31</formula>
    </cfRule>
  </conditionalFormatting>
  <conditionalFormatting sqref="G3:G1851">
    <cfRule type="cellIs" dxfId="41" priority="103" operator="equal">
      <formula>"Vencido"</formula>
    </cfRule>
    <cfRule type="cellIs" dxfId="40" priority="104" operator="equal">
      <formula>"Alerta"</formula>
    </cfRule>
    <cfRule type="cellIs" dxfId="39" priority="105" operator="equal">
      <formula>"Vigente"</formula>
    </cfRule>
  </conditionalFormatting>
  <conditionalFormatting sqref="D3:D1851">
    <cfRule type="cellIs" dxfId="38" priority="106" operator="equal">
      <formula>"Entregado"</formula>
    </cfRule>
    <cfRule type="cellIs" dxfId="37" priority="107" operator="equal">
      <formula>"Pendiente"</formula>
    </cfRule>
  </conditionalFormatting>
  <conditionalFormatting sqref="H3:H1851">
    <cfRule type="cellIs" dxfId="36" priority="108" operator="equal">
      <formula>"Activo"</formula>
    </cfRule>
    <cfRule type="cellIs" dxfId="35" priority="109" operator="equal">
      <formula>"Inactivo"</formula>
    </cfRule>
  </conditionalFormatting>
  <conditionalFormatting sqref="A3:C1851">
    <cfRule type="expression" dxfId="34" priority="110">
      <formula>$H3="Inactivo"</formula>
    </cfRule>
  </conditionalFormatting>
  <conditionalFormatting sqref="F2">
    <cfRule type="cellIs" dxfId="33" priority="1" operator="lessThan">
      <formula>0</formula>
    </cfRule>
    <cfRule type="cellIs" dxfId="32" priority="2" operator="lessThan">
      <formula>31</formula>
    </cfRule>
  </conditionalFormatting>
  <dataValidations count="2">
    <dataValidation type="list" allowBlank="1" showInputMessage="1" showErrorMessage="1" sqref="D2" xr:uid="{ED55D26D-9BA5-492D-ACFC-9C14421E6E1E}">
      <formula1>"Entregado,Pendiente,No aplica"</formula1>
    </dataValidation>
    <dataValidation type="list" errorStyle="warning" allowBlank="1" showInputMessage="1" showErrorMessage="1" errorTitle="Cliente no registrado" error="Este ID no existe en la hoja CLIENTES. Regístrelo primero allí para que el estatus se calcule." promptTitle="ID Cliente" prompt="Seleccione el ID. Al elegirlo se crean automáticamente las 14 filas del expediente." sqref="A3:A1851" xr:uid="{00000000-0002-0000-0000-000000000000}">
      <formula1>INDIRECT("TablaClientes[ID Cliente]")</formula1>
    </dataValidation>
  </dataValidations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368CF-E4D3-4D8D-8CB2-EB71B179BAA8}">
  <sheetPr codeName="Hoja3">
    <tabColor rgb="FFF0841A"/>
    <pageSetUpPr fitToPage="1"/>
  </sheetPr>
  <dimension ref="A1:S169"/>
  <sheetViews>
    <sheetView showGridLines="0" zoomScale="80" zoomScaleNormal="80" workbookViewId="0">
      <selection activeCell="E2" sqref="E2"/>
    </sheetView>
  </sheetViews>
  <sheetFormatPr baseColWidth="10" defaultColWidth="0" defaultRowHeight="24.95" customHeight="1"/>
  <cols>
    <col min="1" max="1" width="8.42578125" style="14" customWidth="1"/>
    <col min="2" max="2" width="22.140625" style="23" customWidth="1"/>
    <col min="3" max="3" width="58.5703125" style="22" customWidth="1"/>
    <col min="4" max="4" width="8" style="25" customWidth="1"/>
    <col min="5" max="5" width="11" style="24" customWidth="1"/>
    <col min="6" max="6" width="10.85546875" style="14" customWidth="1"/>
    <col min="7" max="7" width="23.85546875" style="23" customWidth="1"/>
    <col min="8" max="8" width="38" style="41" customWidth="1"/>
    <col min="9" max="9" width="59.28515625" style="50" customWidth="1"/>
    <col min="10" max="10" width="11.28515625" style="24" customWidth="1"/>
    <col min="11" max="11" width="7" style="24" hidden="1" customWidth="1"/>
    <col min="12" max="12" width="7.7109375" style="24" hidden="1" customWidth="1"/>
    <col min="13" max="13" width="6.5703125" style="24" hidden="1" customWidth="1"/>
    <col min="14" max="14" width="13.28515625" style="24" hidden="1" customWidth="1"/>
    <col min="15" max="15" width="12" style="24" hidden="1" customWidth="1"/>
    <col min="16" max="16" width="13.7109375" style="26" hidden="1" customWidth="1"/>
    <col min="17" max="17" width="2.42578125" style="14" hidden="1" customWidth="1"/>
    <col min="18" max="18" width="6" style="31" hidden="1" customWidth="1"/>
    <col min="19" max="19" width="9" style="14" hidden="1" customWidth="1"/>
    <col min="20" max="16384" width="9" style="14" hidden="1"/>
  </cols>
  <sheetData>
    <row r="1" spans="2:18" ht="9.9499999999999993" customHeight="1">
      <c r="B1" s="14"/>
      <c r="C1" s="14"/>
      <c r="D1" s="14"/>
      <c r="E1" s="14"/>
      <c r="G1" s="14"/>
      <c r="H1" s="14"/>
      <c r="J1" s="14"/>
      <c r="K1" s="14"/>
      <c r="L1" s="14"/>
      <c r="M1" s="14"/>
      <c r="N1" s="14"/>
      <c r="O1" s="14"/>
      <c r="P1" s="14"/>
      <c r="R1" s="14"/>
    </row>
    <row r="2" spans="2:18" ht="33.950000000000003" customHeight="1">
      <c r="B2" s="15" t="s">
        <v>39</v>
      </c>
      <c r="C2" s="14"/>
      <c r="D2" s="14"/>
      <c r="E2" s="14"/>
      <c r="G2" s="14"/>
      <c r="H2" s="14"/>
      <c r="I2" s="53" t="s">
        <v>40</v>
      </c>
      <c r="J2" s="14"/>
      <c r="K2" s="14"/>
      <c r="L2" s="14"/>
      <c r="M2" s="14"/>
      <c r="N2" s="14"/>
      <c r="O2" s="14"/>
      <c r="P2" s="14"/>
      <c r="R2" s="14"/>
    </row>
    <row r="3" spans="2:18" ht="18" customHeight="1">
      <c r="B3" s="16" t="s">
        <v>41</v>
      </c>
      <c r="C3" s="14"/>
      <c r="D3" s="14"/>
      <c r="E3" s="14"/>
      <c r="G3" s="14"/>
      <c r="H3" s="14"/>
      <c r="I3" s="54">
        <f ca="1">TODAY()</f>
        <v>46317</v>
      </c>
      <c r="J3" s="14"/>
      <c r="K3" s="14"/>
      <c r="L3" s="14"/>
      <c r="M3" s="14"/>
      <c r="N3" s="14"/>
      <c r="O3" s="14"/>
      <c r="P3" s="14"/>
      <c r="R3" s="14"/>
    </row>
    <row r="4" spans="2:18" ht="3.95" customHeight="1">
      <c r="B4" s="19"/>
      <c r="C4" s="19"/>
      <c r="D4" s="19"/>
      <c r="E4" s="19"/>
      <c r="F4" s="19"/>
      <c r="G4" s="19"/>
      <c r="H4" s="19"/>
      <c r="I4" s="51"/>
      <c r="J4" s="19"/>
      <c r="K4" s="19"/>
      <c r="L4" s="19"/>
      <c r="M4" s="19"/>
      <c r="N4" s="19"/>
      <c r="O4" s="19"/>
      <c r="P4" s="19"/>
      <c r="R4" s="14"/>
    </row>
    <row r="5" spans="2:18" ht="9.9499999999999993" customHeight="1">
      <c r="B5" s="14"/>
      <c r="C5" s="14"/>
      <c r="D5" s="14"/>
      <c r="E5" s="14"/>
      <c r="G5" s="14"/>
      <c r="H5" s="14"/>
      <c r="J5" s="14"/>
      <c r="K5" s="14"/>
      <c r="L5" s="14"/>
      <c r="M5" s="14"/>
      <c r="N5" s="14"/>
      <c r="O5" s="14"/>
      <c r="P5" s="14"/>
      <c r="R5" s="14"/>
    </row>
    <row r="6" spans="2:18" ht="20.100000000000001" customHeight="1">
      <c r="B6" s="14"/>
      <c r="C6" s="14"/>
      <c r="D6" s="14"/>
      <c r="E6" s="14"/>
      <c r="G6" s="14"/>
      <c r="H6" s="14"/>
      <c r="J6" s="14"/>
      <c r="K6" s="14"/>
      <c r="L6" s="14"/>
      <c r="M6" s="14"/>
      <c r="N6" s="14"/>
      <c r="O6" s="14"/>
      <c r="P6" s="14"/>
      <c r="R6" s="14"/>
    </row>
    <row r="7" spans="2:18" ht="20.100000000000001" customHeight="1">
      <c r="B7" s="14"/>
      <c r="C7" s="14"/>
      <c r="D7" s="14"/>
      <c r="E7" s="14"/>
      <c r="G7" s="14"/>
      <c r="H7" s="14"/>
      <c r="J7" s="14"/>
      <c r="K7" s="14"/>
      <c r="L7" s="14"/>
      <c r="M7" s="14"/>
      <c r="N7" s="14"/>
      <c r="O7" s="14"/>
      <c r="P7" s="14"/>
      <c r="R7" s="14"/>
    </row>
    <row r="8" spans="2:18" ht="20.100000000000001" customHeight="1">
      <c r="B8" s="14"/>
      <c r="C8" s="14"/>
      <c r="D8" s="14"/>
      <c r="E8" s="14"/>
      <c r="G8" s="14"/>
      <c r="H8" s="14"/>
      <c r="J8" s="14"/>
      <c r="K8" s="14"/>
      <c r="L8" s="14"/>
      <c r="M8" s="14"/>
      <c r="N8" s="14"/>
      <c r="O8" s="14"/>
      <c r="P8" s="14"/>
      <c r="R8" s="14"/>
    </row>
    <row r="9" spans="2:18" ht="20.100000000000001" customHeight="1">
      <c r="B9" s="14"/>
      <c r="C9" s="14"/>
      <c r="D9" s="14"/>
      <c r="E9" s="14"/>
      <c r="G9" s="14"/>
      <c r="H9" s="14"/>
      <c r="J9" s="14"/>
      <c r="K9" s="14"/>
      <c r="L9" s="14"/>
      <c r="M9" s="14"/>
      <c r="N9" s="14"/>
      <c r="O9" s="14"/>
      <c r="P9" s="14"/>
      <c r="R9" s="14"/>
    </row>
    <row r="10" spans="2:18" ht="12" customHeight="1">
      <c r="B10" s="14"/>
      <c r="C10" s="14"/>
      <c r="D10" s="14"/>
      <c r="E10" s="14"/>
      <c r="G10" s="14"/>
      <c r="H10" s="14"/>
      <c r="J10" s="14"/>
      <c r="K10" s="14"/>
      <c r="L10" s="14"/>
      <c r="M10" s="14"/>
      <c r="N10" s="14"/>
      <c r="O10" s="14"/>
      <c r="P10" s="14"/>
      <c r="R10" s="14"/>
    </row>
    <row r="11" spans="2:18" ht="15.95" customHeight="1">
      <c r="B11" s="14"/>
      <c r="C11" s="14"/>
      <c r="D11" s="14"/>
      <c r="E11" s="14"/>
      <c r="G11" s="14"/>
      <c r="H11" s="14"/>
      <c r="J11" s="14"/>
      <c r="K11" s="14"/>
      <c r="L11" s="14"/>
      <c r="M11" s="14"/>
      <c r="N11" s="14"/>
      <c r="O11" s="14"/>
      <c r="P11" s="14"/>
      <c r="R11" s="14"/>
    </row>
    <row r="12" spans="2:18" ht="15.95" customHeight="1">
      <c r="B12" s="28" t="s">
        <v>42</v>
      </c>
      <c r="C12" s="28" t="s">
        <v>43</v>
      </c>
      <c r="D12" s="62" t="s">
        <v>44</v>
      </c>
      <c r="E12" s="61"/>
      <c r="G12" s="14"/>
      <c r="H12" s="58" t="s">
        <v>86</v>
      </c>
      <c r="I12" s="58"/>
      <c r="J12" s="14"/>
      <c r="K12" s="14"/>
      <c r="L12" s="14"/>
      <c r="M12" s="14"/>
      <c r="N12" s="14"/>
      <c r="O12" s="14"/>
      <c r="P12" s="14"/>
      <c r="R12" s="14"/>
    </row>
    <row r="13" spans="2:18" ht="24" customHeight="1">
      <c r="B13" s="29" t="s">
        <v>45</v>
      </c>
      <c r="C13" s="29" t="s">
        <v>45</v>
      </c>
      <c r="D13" s="63" t="s">
        <v>45</v>
      </c>
      <c r="E13" s="63"/>
      <c r="F13" s="45"/>
      <c r="G13" s="14"/>
      <c r="H13" s="58"/>
      <c r="I13" s="58"/>
      <c r="J13" s="14"/>
      <c r="K13" s="14"/>
      <c r="L13" s="14"/>
      <c r="M13" s="14"/>
      <c r="N13" s="14"/>
      <c r="O13" s="14"/>
      <c r="P13" s="14"/>
      <c r="R13" s="14"/>
    </row>
    <row r="14" spans="2:18" ht="14.1" customHeight="1">
      <c r="B14" s="14"/>
      <c r="C14" s="14"/>
      <c r="D14" s="14"/>
      <c r="E14" s="14"/>
      <c r="G14" s="14"/>
      <c r="H14" s="14"/>
      <c r="J14" s="14"/>
      <c r="K14" s="14"/>
      <c r="L14" s="14"/>
      <c r="M14" s="14"/>
      <c r="N14" s="14"/>
      <c r="O14" s="14"/>
      <c r="P14" s="14"/>
      <c r="R14" s="14"/>
    </row>
    <row r="15" spans="2:18" ht="16.5" thickBot="1">
      <c r="B15" s="57" t="str">
        <f>"DOCUMENTOS A REVISAR POR VIGENCIA  ·  "&amp;COUNT(D18:D200)</f>
        <v>DOCUMENTOS A REVISAR POR VIGENCIA  ·  0</v>
      </c>
      <c r="C15" s="57"/>
      <c r="D15" s="57"/>
      <c r="E15" s="57"/>
      <c r="F15" s="46"/>
      <c r="G15" s="14"/>
      <c r="H15" s="57" t="str">
        <f>"PENDIENTES DE ENTREGA  ·  "&amp;COUNTIF(H18:H200,"?*")</f>
        <v>PENDIENTES DE ENTREGA  ·  1</v>
      </c>
      <c r="I15" s="57"/>
      <c r="J15" s="14"/>
      <c r="K15" s="14"/>
      <c r="L15" s="14"/>
      <c r="M15" s="14"/>
      <c r="N15" s="14"/>
      <c r="O15" s="14"/>
      <c r="P15" s="14"/>
      <c r="R15" s="14"/>
    </row>
    <row r="16" spans="2:18" ht="15">
      <c r="B16" s="60" t="s">
        <v>46</v>
      </c>
      <c r="C16" s="61"/>
      <c r="D16" s="61"/>
      <c r="E16" s="61"/>
      <c r="G16" s="14"/>
      <c r="H16" s="59" t="s">
        <v>47</v>
      </c>
      <c r="I16" s="59"/>
      <c r="J16" s="14"/>
      <c r="K16" s="14"/>
      <c r="L16" s="14"/>
      <c r="M16" s="14"/>
      <c r="N16" s="14"/>
      <c r="O16" s="14"/>
      <c r="P16" s="14"/>
      <c r="R16" s="14"/>
    </row>
    <row r="17" spans="2:19" ht="15">
      <c r="B17" s="21" t="s">
        <v>48</v>
      </c>
      <c r="C17" s="21" t="s">
        <v>49</v>
      </c>
      <c r="D17" s="20" t="s">
        <v>50</v>
      </c>
      <c r="E17" s="20" t="s">
        <v>51</v>
      </c>
      <c r="F17" s="47"/>
      <c r="G17" s="14"/>
      <c r="H17" s="55" t="s">
        <v>48</v>
      </c>
      <c r="I17" s="48" t="s">
        <v>49</v>
      </c>
      <c r="J17" s="14"/>
      <c r="K17" s="14"/>
      <c r="L17" s="14"/>
      <c r="M17" s="14"/>
      <c r="N17" s="14"/>
      <c r="O17" s="14"/>
      <c r="P17" s="14"/>
      <c r="R17" s="14"/>
    </row>
    <row r="18" spans="2:19" ht="51">
      <c r="B18" s="23" t="str" cm="1">
        <f t="array" ref="B18">IFERROR(_xlfn._xlws.SORT(_xlfn.CHOOSECOLS(_xlfn._xlws.FILTER(Tabla1[], ((Tabla1[Estado_vigencia]="Vencido")+(Tabla1[Estado_vigencia]="Alerta"))*(Tabla1[Estatus Cliente]="Activo")*IF(OR($B$13="",$B$13="(Todos)"),1,Tabla1[Estado_vigencia]=$B$13)*IF(OR($C$13="",$C$13="(Todos)"),1,Tabla1[Tipo de Documento]=$C$13)*IF(OR($D$13="",$D$13="(Todos)"),1,IF($D$13="Vencidos",ISNUMBER(Tabla1[Días para Vencer])*(Tabla1[Días para Vencer]&lt;0),ISNUMBER(Tabla1[Días para Vencer])*(Tabla1[Días para Vencer]&gt;=0)*(Tabla1[Días para Vencer]&lt;=VLOOKUP($D$13,'Tabla dinamica'!$Q$3:$R$7,2,FALSE))))),2,3,6,7),3,1),"✅ No hay documentos por revisar con los filtros seleccionados.")</f>
        <v>✅ No hay documentos por revisar con los filtros seleccionados.</v>
      </c>
      <c r="F18" s="24"/>
      <c r="G18" s="14"/>
      <c r="H18" s="56" t="str" cm="1">
        <f t="array" ref="H18">IFERROR(_xlfn.CHOOSECOLS(_xlfn._xlws.FILTER(Tabla1[], (Tabla1[Estado de entrega]="Pendiente")*(Tabla1[Estatus Cliente]="Activo")*IF(OR($C$13="",$C$13="(Todos)"),1,Tabla1[Tipo de Documento]=$C$13)),2,3),"✅ Todo entregado con los filtros seleccionados.")</f>
        <v>✅ Todo entregado con los filtros seleccionados.</v>
      </c>
      <c r="I18" s="49"/>
      <c r="J18" s="14"/>
      <c r="K18" s="14"/>
      <c r="L18" s="14"/>
      <c r="M18" s="14"/>
      <c r="N18" s="14"/>
      <c r="O18" s="14"/>
      <c r="P18" s="14"/>
      <c r="R18" s="14"/>
      <c r="S1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Row],[Estatus]]=#REF!))&gt;0)),ROWS(S$18:S18)),"")</f>
        <v/>
      </c>
    </row>
    <row r="19" spans="2:19" ht="15">
      <c r="F19" s="24"/>
      <c r="G19" s="14"/>
      <c r="H19" s="56"/>
      <c r="I19" s="49"/>
      <c r="J19" s="14"/>
      <c r="K19" s="14"/>
      <c r="L19" s="14"/>
      <c r="M19" s="14"/>
      <c r="N19" s="14"/>
      <c r="O19" s="14"/>
      <c r="P19" s="24"/>
      <c r="Q19" s="26"/>
      <c r="R19" s="14"/>
      <c r="S1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Row],[Estatus]]=#REF!))&gt;0)),ROWS(S$18:S19)),"")</f>
        <v/>
      </c>
    </row>
    <row r="20" spans="2:19" ht="15">
      <c r="F20" s="24"/>
      <c r="G20" s="14"/>
      <c r="H20" s="56"/>
      <c r="I20" s="49"/>
      <c r="J20" s="14"/>
      <c r="P20" s="24"/>
      <c r="Q20" s="26"/>
      <c r="R20" s="14"/>
      <c r="S2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Row],[Estatus]]=#REF!))&gt;0)),ROWS(S$18:S20)),"")</f>
        <v/>
      </c>
    </row>
    <row r="21" spans="2:19" ht="15">
      <c r="J21" s="24" t="str">
        <f ca="1">IF($R21="","",INDEX(TablaClientes[ID Cliente],$R21)&amp;"")</f>
        <v/>
      </c>
      <c r="K21" s="24" t="str">
        <f ca="1">IF($R21="","",COUNTIFS(Tabla1[ID Cliente],J21,Tabla1[Tipo de Documento],'Tabla dinamica'!$T$3))</f>
        <v/>
      </c>
      <c r="L21" s="24" t="str">
        <f ca="1">IF($R21="","",COUNTIFS(Tabla1[ID Cliente],J21,Tabla1[Tipo de Documento],'Tabla dinamica'!$T$3,Tabla1[Estado de entrega],"Entregado"))</f>
        <v/>
      </c>
      <c r="M21" s="24" t="str">
        <f ca="1">IF($R21="","",COUNTIFS(Tabla1[ID Cliente],J21,Tabla1[Tipo de Documento],'Tabla dinamica'!$T$3,Tabla1[Estado de entrega],"Pendiente"))</f>
        <v/>
      </c>
      <c r="N21" s="24" t="str">
        <f ca="1">IF($R21="","",COUNTIFS(Tabla1[ID Cliente],J21,Tabla1[Tipo de Documento],'Tabla dinamica'!$T$3,Tabla1[Estado_vigencia],"Vencido"))</f>
        <v/>
      </c>
      <c r="O21" s="24" t="str">
        <f ca="1">IF($R21="","",COUNTIFS(Tabla1[ID Cliente],J21,Tabla1[Tipo de Documento],'Tabla dinamica'!$T$3,Tabla1[Estado_vigencia],"Alerta"))</f>
        <v/>
      </c>
      <c r="P21" s="26" t="str">
        <f ca="1">IF(OR($R21="",N(K21)=0),"",COUNTIFS(Tabla1[ID Cliente],J21,Tabla1[Tipo de Documento],'Tabla dinamica'!$T$3,Tabla1[Estado de entrega],"Entregado",Tabla1[Estado_vigencia],"Vigente")/K21)</f>
        <v/>
      </c>
      <c r="R2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Row],[Estatus]]=#REF!))&gt;0)),ROWS(R$18:R21)),"")</f>
        <v/>
      </c>
    </row>
    <row r="22" spans="2:19" ht="15">
      <c r="J22" s="24" t="str">
        <f ca="1">IF($R22="","",INDEX(TablaClientes[ID Cliente],$R22)&amp;"")</f>
        <v/>
      </c>
      <c r="K22" s="24" t="str">
        <f ca="1">IF($R22="","",COUNTIFS(Tabla1[ID Cliente],J22,Tabla1[Tipo de Documento],'Tabla dinamica'!$T$3))</f>
        <v/>
      </c>
      <c r="L22" s="24" t="str">
        <f ca="1">IF($R22="","",COUNTIFS(Tabla1[ID Cliente],J22,Tabla1[Tipo de Documento],'Tabla dinamica'!$T$3,Tabla1[Estado de entrega],"Entregado"))</f>
        <v/>
      </c>
      <c r="M22" s="24" t="str">
        <f ca="1">IF($R22="","",COUNTIFS(Tabla1[ID Cliente],J22,Tabla1[Tipo de Documento],'Tabla dinamica'!$T$3,Tabla1[Estado de entrega],"Pendiente"))</f>
        <v/>
      </c>
      <c r="N22" s="24" t="str">
        <f ca="1">IF($R22="","",COUNTIFS(Tabla1[ID Cliente],J22,Tabla1[Tipo de Documento],'Tabla dinamica'!$T$3,Tabla1[Estado_vigencia],"Vencido"))</f>
        <v/>
      </c>
      <c r="O22" s="24" t="str">
        <f ca="1">IF($R22="","",COUNTIFS(Tabla1[ID Cliente],J22,Tabla1[Tipo de Documento],'Tabla dinamica'!$T$3,Tabla1[Estado_vigencia],"Alerta"))</f>
        <v/>
      </c>
      <c r="P22" s="26" t="str">
        <f ca="1">IF(OR($R22="",N(K22)=0),"",COUNTIFS(Tabla1[ID Cliente],J22,Tabla1[Tipo de Documento],'Tabla dinamica'!$T$3,Tabla1[Estado de entrega],"Entregado",Tabla1[Estado_vigencia],"Vigente")/K22)</f>
        <v/>
      </c>
      <c r="R2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Row],[Estatus]]=#REF!))&gt;0)),ROWS(R$18:R22)),"")</f>
        <v/>
      </c>
    </row>
    <row r="23" spans="2:19" ht="15">
      <c r="J23" s="24" t="str">
        <f ca="1">IF($R23="","",INDEX(TablaClientes[ID Cliente],$R23)&amp;"")</f>
        <v/>
      </c>
      <c r="K23" s="24" t="str">
        <f ca="1">IF($R23="","",COUNTIFS(Tabla1[ID Cliente],J23,Tabla1[Tipo de Documento],'Tabla dinamica'!$T$3))</f>
        <v/>
      </c>
      <c r="L23" s="24" t="str">
        <f ca="1">IF($R23="","",COUNTIFS(Tabla1[ID Cliente],J23,Tabla1[Tipo de Documento],'Tabla dinamica'!$T$3,Tabla1[Estado de entrega],"Entregado"))</f>
        <v/>
      </c>
      <c r="M23" s="24" t="str">
        <f ca="1">IF($R23="","",COUNTIFS(Tabla1[ID Cliente],J23,Tabla1[Tipo de Documento],'Tabla dinamica'!$T$3,Tabla1[Estado de entrega],"Pendiente"))</f>
        <v/>
      </c>
      <c r="N23" s="24" t="str">
        <f ca="1">IF($R23="","",COUNTIFS(Tabla1[ID Cliente],J23,Tabla1[Tipo de Documento],'Tabla dinamica'!$T$3,Tabla1[Estado_vigencia],"Vencido"))</f>
        <v/>
      </c>
      <c r="O23" s="24" t="str">
        <f ca="1">IF($R23="","",COUNTIFS(Tabla1[ID Cliente],J23,Tabla1[Tipo de Documento],'Tabla dinamica'!$T$3,Tabla1[Estado_vigencia],"Alerta"))</f>
        <v/>
      </c>
      <c r="P23" s="26" t="str">
        <f ca="1">IF(OR($R23="",N(K23)=0),"",COUNTIFS(Tabla1[ID Cliente],J23,Tabla1[Tipo de Documento],'Tabla dinamica'!$T$3,Tabla1[Estado de entrega],"Entregado",Tabla1[Estado_vigencia],"Vigente")/K23)</f>
        <v/>
      </c>
      <c r="R2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Row],[Estatus]]=#REF!))&gt;0)),ROWS(R$18:R23)),"")</f>
        <v/>
      </c>
    </row>
    <row r="24" spans="2:19" ht="15">
      <c r="J24" s="24" t="str">
        <f ca="1">IF($R24="","",INDEX(TablaClientes[ID Cliente],$R24)&amp;"")</f>
        <v/>
      </c>
      <c r="K24" s="24" t="str">
        <f ca="1">IF($R24="","",COUNTIFS(Tabla1[ID Cliente],J24,Tabla1[Tipo de Documento],'Tabla dinamica'!$T$3))</f>
        <v/>
      </c>
      <c r="L24" s="24" t="str">
        <f ca="1">IF($R24="","",COUNTIFS(Tabla1[ID Cliente],J24,Tabla1[Tipo de Documento],'Tabla dinamica'!$T$3,Tabla1[Estado de entrega],"Entregado"))</f>
        <v/>
      </c>
      <c r="M24" s="24" t="str">
        <f ca="1">IF($R24="","",COUNTIFS(Tabla1[ID Cliente],J24,Tabla1[Tipo de Documento],'Tabla dinamica'!$T$3,Tabla1[Estado de entrega],"Pendiente"))</f>
        <v/>
      </c>
      <c r="N24" s="24" t="str">
        <f ca="1">IF($R24="","",COUNTIFS(Tabla1[ID Cliente],J24,Tabla1[Tipo de Documento],'Tabla dinamica'!$T$3,Tabla1[Estado_vigencia],"Vencido"))</f>
        <v/>
      </c>
      <c r="O24" s="24" t="str">
        <f ca="1">IF($R24="","",COUNTIFS(Tabla1[ID Cliente],J24,Tabla1[Tipo de Documento],'Tabla dinamica'!$T$3,Tabla1[Estado_vigencia],"Alerta"))</f>
        <v/>
      </c>
      <c r="P24" s="26" t="str">
        <f ca="1">IF(OR($R24="",N(K24)=0),"",COUNTIFS(Tabla1[ID Cliente],J24,Tabla1[Tipo de Documento],'Tabla dinamica'!$T$3,Tabla1[Estado de entrega],"Entregado",Tabla1[Estado_vigencia],"Vigente")/K24)</f>
        <v/>
      </c>
      <c r="R2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Row],[Estatus]]=#REF!))&gt;0)),ROWS(R$18:R24)),"")</f>
        <v/>
      </c>
    </row>
    <row r="25" spans="2:19" ht="15">
      <c r="J25" s="24" t="str">
        <f ca="1">IF($R25="","",INDEX(TablaClientes[ID Cliente],$R25)&amp;"")</f>
        <v/>
      </c>
      <c r="K25" s="24" t="str">
        <f ca="1">IF($R25="","",COUNTIFS(Tabla1[ID Cliente],J25,Tabla1[Tipo de Documento],'Tabla dinamica'!$T$3))</f>
        <v/>
      </c>
      <c r="L25" s="24" t="str">
        <f ca="1">IF($R25="","",COUNTIFS(Tabla1[ID Cliente],J25,Tabla1[Tipo de Documento],'Tabla dinamica'!$T$3,Tabla1[Estado de entrega],"Entregado"))</f>
        <v/>
      </c>
      <c r="M25" s="24" t="str">
        <f ca="1">IF($R25="","",COUNTIFS(Tabla1[ID Cliente],J25,Tabla1[Tipo de Documento],'Tabla dinamica'!$T$3,Tabla1[Estado de entrega],"Pendiente"))</f>
        <v/>
      </c>
      <c r="N25" s="24" t="str">
        <f ca="1">IF($R25="","",COUNTIFS(Tabla1[ID Cliente],J25,Tabla1[Tipo de Documento],'Tabla dinamica'!$T$3,Tabla1[Estado_vigencia],"Vencido"))</f>
        <v/>
      </c>
      <c r="O25" s="24" t="str">
        <f ca="1">IF($R25="","",COUNTIFS(Tabla1[ID Cliente],J25,Tabla1[Tipo de Documento],'Tabla dinamica'!$T$3,Tabla1[Estado_vigencia],"Alerta"))</f>
        <v/>
      </c>
      <c r="P25" s="26" t="str">
        <f ca="1">IF(OR($R25="",N(K25)=0),"",COUNTIFS(Tabla1[ID Cliente],J25,Tabla1[Tipo de Documento],'Tabla dinamica'!$T$3,Tabla1[Estado de entrega],"Entregado",Tabla1[Estado_vigencia],"Vigente")/K25)</f>
        <v/>
      </c>
      <c r="R2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Row],[Estatus]]=#REF!))&gt;0)),ROWS(R$18:R25)),"")</f>
        <v/>
      </c>
    </row>
    <row r="26" spans="2:19" ht="15">
      <c r="J26" s="24" t="str">
        <f ca="1">IF($R26="","",INDEX(TablaClientes[ID Cliente],$R26)&amp;"")</f>
        <v/>
      </c>
      <c r="K26" s="24" t="str">
        <f ca="1">IF($R26="","",COUNTIFS(Tabla1[ID Cliente],J26,Tabla1[Tipo de Documento],'Tabla dinamica'!$T$3))</f>
        <v/>
      </c>
      <c r="L26" s="24" t="str">
        <f ca="1">IF($R26="","",COUNTIFS(Tabla1[ID Cliente],J26,Tabla1[Tipo de Documento],'Tabla dinamica'!$T$3,Tabla1[Estado de entrega],"Entregado"))</f>
        <v/>
      </c>
      <c r="M26" s="24" t="str">
        <f ca="1">IF($R26="","",COUNTIFS(Tabla1[ID Cliente],J26,Tabla1[Tipo de Documento],'Tabla dinamica'!$T$3,Tabla1[Estado de entrega],"Pendiente"))</f>
        <v/>
      </c>
      <c r="N26" s="24" t="str">
        <f ca="1">IF($R26="","",COUNTIFS(Tabla1[ID Cliente],J26,Tabla1[Tipo de Documento],'Tabla dinamica'!$T$3,Tabla1[Estado_vigencia],"Vencido"))</f>
        <v/>
      </c>
      <c r="O26" s="24" t="str">
        <f ca="1">IF($R26="","",COUNTIFS(Tabla1[ID Cliente],J26,Tabla1[Tipo de Documento],'Tabla dinamica'!$T$3,Tabla1[Estado_vigencia],"Alerta"))</f>
        <v/>
      </c>
      <c r="P26" s="26" t="str">
        <f ca="1">IF(OR($R26="",N(K26)=0),"",COUNTIFS(Tabla1[ID Cliente],J26,Tabla1[Tipo de Documento],'Tabla dinamica'!$T$3,Tabla1[Estado de entrega],"Entregado",Tabla1[Estado_vigencia],"Vigente")/K26)</f>
        <v/>
      </c>
      <c r="R2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Row],[Estatus]]=#REF!))&gt;0)),ROWS(R$18:R26)),"")</f>
        <v/>
      </c>
    </row>
    <row r="27" spans="2:19" ht="15">
      <c r="J27" s="24" t="str">
        <f ca="1">IF($R27="","",INDEX(TablaClientes[ID Cliente],$R27)&amp;"")</f>
        <v/>
      </c>
      <c r="K27" s="24" t="str">
        <f ca="1">IF($R27="","",COUNTIFS(Tabla1[ID Cliente],J27,Tabla1[Tipo de Documento],'Tabla dinamica'!$T$3))</f>
        <v/>
      </c>
      <c r="L27" s="24" t="str">
        <f ca="1">IF($R27="","",COUNTIFS(Tabla1[ID Cliente],J27,Tabla1[Tipo de Documento],'Tabla dinamica'!$T$3,Tabla1[Estado de entrega],"Entregado"))</f>
        <v/>
      </c>
      <c r="M27" s="24" t="str">
        <f ca="1">IF($R27="","",COUNTIFS(Tabla1[ID Cliente],J27,Tabla1[Tipo de Documento],'Tabla dinamica'!$T$3,Tabla1[Estado de entrega],"Pendiente"))</f>
        <v/>
      </c>
      <c r="N27" s="24" t="str">
        <f ca="1">IF($R27="","",COUNTIFS(Tabla1[ID Cliente],J27,Tabla1[Tipo de Documento],'Tabla dinamica'!$T$3,Tabla1[Estado_vigencia],"Vencido"))</f>
        <v/>
      </c>
      <c r="O27" s="24" t="str">
        <f ca="1">IF($R27="","",COUNTIFS(Tabla1[ID Cliente],J27,Tabla1[Tipo de Documento],'Tabla dinamica'!$T$3,Tabla1[Estado_vigencia],"Alerta"))</f>
        <v/>
      </c>
      <c r="P27" s="26" t="str">
        <f ca="1">IF(OR($R27="",N(K27)=0),"",COUNTIFS(Tabla1[ID Cliente],J27,Tabla1[Tipo de Documento],'Tabla dinamica'!$T$3,Tabla1[Estado de entrega],"Entregado",Tabla1[Estado_vigencia],"Vigente")/K27)</f>
        <v/>
      </c>
      <c r="R2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Row],[Estatus]]=#REF!))&gt;0)),ROWS(R$18:R27)),"")</f>
        <v/>
      </c>
    </row>
    <row r="28" spans="2:19" ht="15">
      <c r="J28" s="24" t="str">
        <f ca="1">IF($R28="","",INDEX(TablaClientes[ID Cliente],$R28)&amp;"")</f>
        <v/>
      </c>
      <c r="K28" s="24" t="str">
        <f ca="1">IF($R28="","",COUNTIFS(Tabla1[ID Cliente],J28,Tabla1[Tipo de Documento],'Tabla dinamica'!$T$3))</f>
        <v/>
      </c>
      <c r="L28" s="24" t="str">
        <f ca="1">IF($R28="","",COUNTIFS(Tabla1[ID Cliente],J28,Tabla1[Tipo de Documento],'Tabla dinamica'!$T$3,Tabla1[Estado de entrega],"Entregado"))</f>
        <v/>
      </c>
      <c r="M28" s="24" t="str">
        <f ca="1">IF($R28="","",COUNTIFS(Tabla1[ID Cliente],J28,Tabla1[Tipo de Documento],'Tabla dinamica'!$T$3,Tabla1[Estado de entrega],"Pendiente"))</f>
        <v/>
      </c>
      <c r="N28" s="24" t="str">
        <f ca="1">IF($R28="","",COUNTIFS(Tabla1[ID Cliente],J28,Tabla1[Tipo de Documento],'Tabla dinamica'!$T$3,Tabla1[Estado_vigencia],"Vencido"))</f>
        <v/>
      </c>
      <c r="O28" s="24" t="str">
        <f ca="1">IF($R28="","",COUNTIFS(Tabla1[ID Cliente],J28,Tabla1[Tipo de Documento],'Tabla dinamica'!$T$3,Tabla1[Estado_vigencia],"Alerta"))</f>
        <v/>
      </c>
      <c r="P28" s="26" t="str">
        <f ca="1">IF(OR($R28="",N(K28)=0),"",COUNTIFS(Tabla1[ID Cliente],J28,Tabla1[Tipo de Documento],'Tabla dinamica'!$T$3,Tabla1[Estado de entrega],"Entregado",Tabla1[Estado_vigencia],"Vigente")/K28)</f>
        <v/>
      </c>
      <c r="R2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Row],[Estatus]]=#REF!))&gt;0)),ROWS(R$18:R28)),"")</f>
        <v/>
      </c>
    </row>
    <row r="29" spans="2:19" ht="15">
      <c r="J29" s="24" t="str">
        <f ca="1">IF($R29="","",INDEX(TablaClientes[ID Cliente],$R29)&amp;"")</f>
        <v/>
      </c>
      <c r="K29" s="24" t="str">
        <f ca="1">IF($R29="","",COUNTIFS(Tabla1[ID Cliente],J29,Tabla1[Tipo de Documento],'Tabla dinamica'!$T$3))</f>
        <v/>
      </c>
      <c r="L29" s="24" t="str">
        <f ca="1">IF($R29="","",COUNTIFS(Tabla1[ID Cliente],J29,Tabla1[Tipo de Documento],'Tabla dinamica'!$T$3,Tabla1[Estado de entrega],"Entregado"))</f>
        <v/>
      </c>
      <c r="M29" s="24" t="str">
        <f ca="1">IF($R29="","",COUNTIFS(Tabla1[ID Cliente],J29,Tabla1[Tipo de Documento],'Tabla dinamica'!$T$3,Tabla1[Estado de entrega],"Pendiente"))</f>
        <v/>
      </c>
      <c r="N29" s="24" t="str">
        <f ca="1">IF($R29="","",COUNTIFS(Tabla1[ID Cliente],J29,Tabla1[Tipo de Documento],'Tabla dinamica'!$T$3,Tabla1[Estado_vigencia],"Vencido"))</f>
        <v/>
      </c>
      <c r="O29" s="24" t="str">
        <f ca="1">IF($R29="","",COUNTIFS(Tabla1[ID Cliente],J29,Tabla1[Tipo de Documento],'Tabla dinamica'!$T$3,Tabla1[Estado_vigencia],"Alerta"))</f>
        <v/>
      </c>
      <c r="P29" s="26" t="str">
        <f ca="1">IF(OR($R29="",N(K29)=0),"",COUNTIFS(Tabla1[ID Cliente],J29,Tabla1[Tipo de Documento],'Tabla dinamica'!$T$3,Tabla1[Estado de entrega],"Entregado",Tabla1[Estado_vigencia],"Vigente")/K29)</f>
        <v/>
      </c>
      <c r="R2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Row],[Estatus]]=#REF!))&gt;0)),ROWS(R$18:R29)),"")</f>
        <v/>
      </c>
    </row>
    <row r="30" spans="2:19" ht="15">
      <c r="J30" s="24" t="str">
        <f ca="1">IF($R30="","",INDEX(TablaClientes[ID Cliente],$R30)&amp;"")</f>
        <v/>
      </c>
      <c r="K30" s="24" t="str">
        <f ca="1">IF($R30="","",COUNTIFS(Tabla1[ID Cliente],J30,Tabla1[Tipo de Documento],'Tabla dinamica'!$T$3))</f>
        <v/>
      </c>
      <c r="L30" s="24" t="str">
        <f ca="1">IF($R30="","",COUNTIFS(Tabla1[ID Cliente],J30,Tabla1[Tipo de Documento],'Tabla dinamica'!$T$3,Tabla1[Estado de entrega],"Entregado"))</f>
        <v/>
      </c>
      <c r="M30" s="24" t="str">
        <f ca="1">IF($R30="","",COUNTIFS(Tabla1[ID Cliente],J30,Tabla1[Tipo de Documento],'Tabla dinamica'!$T$3,Tabla1[Estado de entrega],"Pendiente"))</f>
        <v/>
      </c>
      <c r="N30" s="24" t="str">
        <f ca="1">IF($R30="","",COUNTIFS(Tabla1[ID Cliente],J30,Tabla1[Tipo de Documento],'Tabla dinamica'!$T$3,Tabla1[Estado_vigencia],"Vencido"))</f>
        <v/>
      </c>
      <c r="O30" s="24" t="str">
        <f ca="1">IF($R30="","",COUNTIFS(Tabla1[ID Cliente],J30,Tabla1[Tipo de Documento],'Tabla dinamica'!$T$3,Tabla1[Estado_vigencia],"Alerta"))</f>
        <v/>
      </c>
      <c r="P30" s="26" t="str">
        <f ca="1">IF(OR($R30="",N(K30)=0),"",COUNTIFS(Tabla1[ID Cliente],J30,Tabla1[Tipo de Documento],'Tabla dinamica'!$T$3,Tabla1[Estado de entrega],"Entregado",Tabla1[Estado_vigencia],"Vigente")/K30)</f>
        <v/>
      </c>
      <c r="R3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Row],[Estatus]]=#REF!))&gt;0)),ROWS(R$18:R30)),"")</f>
        <v/>
      </c>
    </row>
    <row r="31" spans="2:19" ht="15">
      <c r="J31" s="24" t="str">
        <f ca="1">IF($R31="","",INDEX(TablaClientes[ID Cliente],$R31)&amp;"")</f>
        <v/>
      </c>
      <c r="K31" s="24" t="str">
        <f ca="1">IF($R31="","",COUNTIFS(Tabla1[ID Cliente],J31,Tabla1[Tipo de Documento],'Tabla dinamica'!$T$3))</f>
        <v/>
      </c>
      <c r="L31" s="24" t="str">
        <f ca="1">IF($R31="","",COUNTIFS(Tabla1[ID Cliente],J31,Tabla1[Tipo de Documento],'Tabla dinamica'!$T$3,Tabla1[Estado de entrega],"Entregado"))</f>
        <v/>
      </c>
      <c r="M31" s="24" t="str">
        <f ca="1">IF($R31="","",COUNTIFS(Tabla1[ID Cliente],J31,Tabla1[Tipo de Documento],'Tabla dinamica'!$T$3,Tabla1[Estado de entrega],"Pendiente"))</f>
        <v/>
      </c>
      <c r="N31" s="24" t="str">
        <f ca="1">IF($R31="","",COUNTIFS(Tabla1[ID Cliente],J31,Tabla1[Tipo de Documento],'Tabla dinamica'!$T$3,Tabla1[Estado_vigencia],"Vencido"))</f>
        <v/>
      </c>
      <c r="O31" s="24" t="str">
        <f ca="1">IF($R31="","",COUNTIFS(Tabla1[ID Cliente],J31,Tabla1[Tipo de Documento],'Tabla dinamica'!$T$3,Tabla1[Estado_vigencia],"Alerta"))</f>
        <v/>
      </c>
      <c r="P31" s="26" t="str">
        <f ca="1">IF(OR($R31="",N(K31)=0),"",COUNTIFS(Tabla1[ID Cliente],J31,Tabla1[Tipo de Documento],'Tabla dinamica'!$T$3,Tabla1[Estado de entrega],"Entregado",Tabla1[Estado_vigencia],"Vigente")/K31)</f>
        <v/>
      </c>
      <c r="R3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Row],[Estatus]]=#REF!))&gt;0)),ROWS(R$18:R31)),"")</f>
        <v/>
      </c>
    </row>
    <row r="32" spans="2:19" ht="15">
      <c r="J32" s="24" t="str">
        <f ca="1">IF($R32="","",INDEX(TablaClientes[ID Cliente],$R32)&amp;"")</f>
        <v/>
      </c>
      <c r="K32" s="24" t="str">
        <f ca="1">IF($R32="","",COUNTIFS(Tabla1[ID Cliente],J32,Tabla1[Tipo de Documento],'Tabla dinamica'!$T$3))</f>
        <v/>
      </c>
      <c r="L32" s="24" t="str">
        <f ca="1">IF($R32="","",COUNTIFS(Tabla1[ID Cliente],J32,Tabla1[Tipo de Documento],'Tabla dinamica'!$T$3,Tabla1[Estado de entrega],"Entregado"))</f>
        <v/>
      </c>
      <c r="M32" s="24" t="str">
        <f ca="1">IF($R32="","",COUNTIFS(Tabla1[ID Cliente],J32,Tabla1[Tipo de Documento],'Tabla dinamica'!$T$3,Tabla1[Estado de entrega],"Pendiente"))</f>
        <v/>
      </c>
      <c r="N32" s="24" t="str">
        <f ca="1">IF($R32="","",COUNTIFS(Tabla1[ID Cliente],J32,Tabla1[Tipo de Documento],'Tabla dinamica'!$T$3,Tabla1[Estado_vigencia],"Vencido"))</f>
        <v/>
      </c>
      <c r="O32" s="24" t="str">
        <f ca="1">IF($R32="","",COUNTIFS(Tabla1[ID Cliente],J32,Tabla1[Tipo de Documento],'Tabla dinamica'!$T$3,Tabla1[Estado_vigencia],"Alerta"))</f>
        <v/>
      </c>
      <c r="P32" s="26" t="str">
        <f ca="1">IF(OR($R32="",N(K32)=0),"",COUNTIFS(Tabla1[ID Cliente],J32,Tabla1[Tipo de Documento],'Tabla dinamica'!$T$3,Tabla1[Estado de entrega],"Entregado",Tabla1[Estado_vigencia],"Vigente")/K32)</f>
        <v/>
      </c>
      <c r="R3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Row],[Estatus]]=#REF!))&gt;0)),ROWS(R$18:R32)),"")</f>
        <v/>
      </c>
    </row>
    <row r="33" spans="10:18" ht="15">
      <c r="J33" s="24" t="str">
        <f ca="1">IF($R33="","",INDEX(TablaClientes[ID Cliente],$R33)&amp;"")</f>
        <v/>
      </c>
      <c r="K33" s="24" t="str">
        <f ca="1">IF($R33="","",COUNTIFS(Tabla1[ID Cliente],J33,Tabla1[Tipo de Documento],'Tabla dinamica'!$T$3))</f>
        <v/>
      </c>
      <c r="L33" s="24" t="str">
        <f ca="1">IF($R33="","",COUNTIFS(Tabla1[ID Cliente],J33,Tabla1[Tipo de Documento],'Tabla dinamica'!$T$3,Tabla1[Estado de entrega],"Entregado"))</f>
        <v/>
      </c>
      <c r="M33" s="24" t="str">
        <f ca="1">IF($R33="","",COUNTIFS(Tabla1[ID Cliente],J33,Tabla1[Tipo de Documento],'Tabla dinamica'!$T$3,Tabla1[Estado de entrega],"Pendiente"))</f>
        <v/>
      </c>
      <c r="N33" s="24" t="str">
        <f ca="1">IF($R33="","",COUNTIFS(Tabla1[ID Cliente],J33,Tabla1[Tipo de Documento],'Tabla dinamica'!$T$3,Tabla1[Estado_vigencia],"Vencido"))</f>
        <v/>
      </c>
      <c r="O33" s="24" t="str">
        <f ca="1">IF($R33="","",COUNTIFS(Tabla1[ID Cliente],J33,Tabla1[Tipo de Documento],'Tabla dinamica'!$T$3,Tabla1[Estado_vigencia],"Alerta"))</f>
        <v/>
      </c>
      <c r="P33" s="26" t="str">
        <f ca="1">IF(OR($R33="",N(K33)=0),"",COUNTIFS(Tabla1[ID Cliente],J33,Tabla1[Tipo de Documento],'Tabla dinamica'!$T$3,Tabla1[Estado de entrega],"Entregado",Tabla1[Estado_vigencia],"Vigente")/K33)</f>
        <v/>
      </c>
      <c r="R3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Row],[Estatus]]=#REF!))&gt;0)),ROWS(R$18:R33)),"")</f>
        <v/>
      </c>
    </row>
    <row r="34" spans="10:18" ht="15">
      <c r="J34" s="24" t="str">
        <f ca="1">IF($R34="","",INDEX(TablaClientes[ID Cliente],$R34)&amp;"")</f>
        <v/>
      </c>
      <c r="K34" s="24" t="str">
        <f ca="1">IF($R34="","",COUNTIFS(Tabla1[ID Cliente],J34,Tabla1[Tipo de Documento],'Tabla dinamica'!$T$3))</f>
        <v/>
      </c>
      <c r="L34" s="24" t="str">
        <f ca="1">IF($R34="","",COUNTIFS(Tabla1[ID Cliente],J34,Tabla1[Tipo de Documento],'Tabla dinamica'!$T$3,Tabla1[Estado de entrega],"Entregado"))</f>
        <v/>
      </c>
      <c r="M34" s="24" t="str">
        <f ca="1">IF($R34="","",COUNTIFS(Tabla1[ID Cliente],J34,Tabla1[Tipo de Documento],'Tabla dinamica'!$T$3,Tabla1[Estado de entrega],"Pendiente"))</f>
        <v/>
      </c>
      <c r="N34" s="24" t="str">
        <f ca="1">IF($R34="","",COUNTIFS(Tabla1[ID Cliente],J34,Tabla1[Tipo de Documento],'Tabla dinamica'!$T$3,Tabla1[Estado_vigencia],"Vencido"))</f>
        <v/>
      </c>
      <c r="O34" s="24" t="str">
        <f ca="1">IF($R34="","",COUNTIFS(Tabla1[ID Cliente],J34,Tabla1[Tipo de Documento],'Tabla dinamica'!$T$3,Tabla1[Estado_vigencia],"Alerta"))</f>
        <v/>
      </c>
      <c r="P34" s="26" t="str">
        <f ca="1">IF(OR($R34="",N(K34)=0),"",COUNTIFS(Tabla1[ID Cliente],J34,Tabla1[Tipo de Documento],'Tabla dinamica'!$T$3,Tabla1[Estado de entrega],"Entregado",Tabla1[Estado_vigencia],"Vigente")/K34)</f>
        <v/>
      </c>
      <c r="R3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Row],[Estatus]]=#REF!))&gt;0)),ROWS(R$18:R34)),"")</f>
        <v/>
      </c>
    </row>
    <row r="35" spans="10:18" ht="15">
      <c r="J35" s="24" t="str">
        <f ca="1">IF($R35="","",INDEX(TablaClientes[ID Cliente],$R35)&amp;"")</f>
        <v/>
      </c>
      <c r="K35" s="24" t="str">
        <f ca="1">IF($R35="","",COUNTIFS(Tabla1[ID Cliente],J35,Tabla1[Tipo de Documento],'Tabla dinamica'!$T$3))</f>
        <v/>
      </c>
      <c r="L35" s="24" t="str">
        <f ca="1">IF($R35="","",COUNTIFS(Tabla1[ID Cliente],J35,Tabla1[Tipo de Documento],'Tabla dinamica'!$T$3,Tabla1[Estado de entrega],"Entregado"))</f>
        <v/>
      </c>
      <c r="M35" s="24" t="str">
        <f ca="1">IF($R35="","",COUNTIFS(Tabla1[ID Cliente],J35,Tabla1[Tipo de Documento],'Tabla dinamica'!$T$3,Tabla1[Estado de entrega],"Pendiente"))</f>
        <v/>
      </c>
      <c r="N35" s="24" t="str">
        <f ca="1">IF($R35="","",COUNTIFS(Tabla1[ID Cliente],J35,Tabla1[Tipo de Documento],'Tabla dinamica'!$T$3,Tabla1[Estado_vigencia],"Vencido"))</f>
        <v/>
      </c>
      <c r="O35" s="24" t="str">
        <f ca="1">IF($R35="","",COUNTIFS(Tabla1[ID Cliente],J35,Tabla1[Tipo de Documento],'Tabla dinamica'!$T$3,Tabla1[Estado_vigencia],"Alerta"))</f>
        <v/>
      </c>
      <c r="P35" s="26" t="str">
        <f ca="1">IF(OR($R35="",N(K35)=0),"",COUNTIFS(Tabla1[ID Cliente],J35,Tabla1[Tipo de Documento],'Tabla dinamica'!$T$3,Tabla1[Estado de entrega],"Entregado",Tabla1[Estado_vigencia],"Vigente")/K35)</f>
        <v/>
      </c>
      <c r="R3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Row],[Estatus]]=#REF!))&gt;0)),ROWS(R$18:R35)),"")</f>
        <v/>
      </c>
    </row>
    <row r="36" spans="10:18" ht="15">
      <c r="J36" s="24" t="str">
        <f ca="1">IF($R36="","",INDEX(TablaClientes[ID Cliente],$R36)&amp;"")</f>
        <v/>
      </c>
      <c r="K36" s="24" t="str">
        <f ca="1">IF($R36="","",COUNTIFS(Tabla1[ID Cliente],J36,Tabla1[Tipo de Documento],'Tabla dinamica'!$T$3))</f>
        <v/>
      </c>
      <c r="L36" s="24" t="str">
        <f ca="1">IF($R36="","",COUNTIFS(Tabla1[ID Cliente],J36,Tabla1[Tipo de Documento],'Tabla dinamica'!$T$3,Tabla1[Estado de entrega],"Entregado"))</f>
        <v/>
      </c>
      <c r="M36" s="24" t="str">
        <f ca="1">IF($R36="","",COUNTIFS(Tabla1[ID Cliente],J36,Tabla1[Tipo de Documento],'Tabla dinamica'!$T$3,Tabla1[Estado de entrega],"Pendiente"))</f>
        <v/>
      </c>
      <c r="N36" s="24" t="str">
        <f ca="1">IF($R36="","",COUNTIFS(Tabla1[ID Cliente],J36,Tabla1[Tipo de Documento],'Tabla dinamica'!$T$3,Tabla1[Estado_vigencia],"Vencido"))</f>
        <v/>
      </c>
      <c r="O36" s="24" t="str">
        <f ca="1">IF($R36="","",COUNTIFS(Tabla1[ID Cliente],J36,Tabla1[Tipo de Documento],'Tabla dinamica'!$T$3,Tabla1[Estado_vigencia],"Alerta"))</f>
        <v/>
      </c>
      <c r="P36" s="26" t="str">
        <f ca="1">IF(OR($R36="",N(K36)=0),"",COUNTIFS(Tabla1[ID Cliente],J36,Tabla1[Tipo de Documento],'Tabla dinamica'!$T$3,Tabla1[Estado de entrega],"Entregado",Tabla1[Estado_vigencia],"Vigente")/K36)</f>
        <v/>
      </c>
      <c r="R3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Row],[Estatus]]=#REF!))&gt;0)),ROWS(R$18:R36)),"")</f>
        <v/>
      </c>
    </row>
    <row r="37" spans="10:18" ht="15">
      <c r="J37" s="24" t="str">
        <f ca="1">IF($R37="","",INDEX(TablaClientes[ID Cliente],$R37)&amp;"")</f>
        <v/>
      </c>
      <c r="K37" s="24" t="str">
        <f ca="1">IF($R37="","",COUNTIFS(Tabla1[ID Cliente],J37,Tabla1[Tipo de Documento],'Tabla dinamica'!$T$3))</f>
        <v/>
      </c>
      <c r="L37" s="24" t="str">
        <f ca="1">IF($R37="","",COUNTIFS(Tabla1[ID Cliente],J37,Tabla1[Tipo de Documento],'Tabla dinamica'!$T$3,Tabla1[Estado de entrega],"Entregado"))</f>
        <v/>
      </c>
      <c r="M37" s="24" t="str">
        <f ca="1">IF($R37="","",COUNTIFS(Tabla1[ID Cliente],J37,Tabla1[Tipo de Documento],'Tabla dinamica'!$T$3,Tabla1[Estado de entrega],"Pendiente"))</f>
        <v/>
      </c>
      <c r="N37" s="24" t="str">
        <f ca="1">IF($R37="","",COUNTIFS(Tabla1[ID Cliente],J37,Tabla1[Tipo de Documento],'Tabla dinamica'!$T$3,Tabla1[Estado_vigencia],"Vencido"))</f>
        <v/>
      </c>
      <c r="O37" s="24" t="str">
        <f ca="1">IF($R37="","",COUNTIFS(Tabla1[ID Cliente],J37,Tabla1[Tipo de Documento],'Tabla dinamica'!$T$3,Tabla1[Estado_vigencia],"Alerta"))</f>
        <v/>
      </c>
      <c r="P37" s="26" t="str">
        <f ca="1">IF(OR($R37="",N(K37)=0),"",COUNTIFS(Tabla1[ID Cliente],J37,Tabla1[Tipo de Documento],'Tabla dinamica'!$T$3,Tabla1[Estado de entrega],"Entregado",Tabla1[Estado_vigencia],"Vigente")/K37)</f>
        <v/>
      </c>
      <c r="R3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Row],[Estatus]]=#REF!))&gt;0)),ROWS(R$18:R37)),"")</f>
        <v/>
      </c>
    </row>
    <row r="38" spans="10:18" ht="15">
      <c r="J38" s="24" t="str">
        <f ca="1">IF($R38="","",INDEX(TablaClientes[ID Cliente],$R38)&amp;"")</f>
        <v/>
      </c>
      <c r="K38" s="24" t="str">
        <f ca="1">IF($R38="","",COUNTIFS(Tabla1[ID Cliente],J38,Tabla1[Tipo de Documento],'Tabla dinamica'!$T$3))</f>
        <v/>
      </c>
      <c r="L38" s="24" t="str">
        <f ca="1">IF($R38="","",COUNTIFS(Tabla1[ID Cliente],J38,Tabla1[Tipo de Documento],'Tabla dinamica'!$T$3,Tabla1[Estado de entrega],"Entregado"))</f>
        <v/>
      </c>
      <c r="M38" s="24" t="str">
        <f ca="1">IF($R38="","",COUNTIFS(Tabla1[ID Cliente],J38,Tabla1[Tipo de Documento],'Tabla dinamica'!$T$3,Tabla1[Estado de entrega],"Pendiente"))</f>
        <v/>
      </c>
      <c r="N38" s="24" t="str">
        <f ca="1">IF($R38="","",COUNTIFS(Tabla1[ID Cliente],J38,Tabla1[Tipo de Documento],'Tabla dinamica'!$T$3,Tabla1[Estado_vigencia],"Vencido"))</f>
        <v/>
      </c>
      <c r="O38" s="24" t="str">
        <f ca="1">IF($R38="","",COUNTIFS(Tabla1[ID Cliente],J38,Tabla1[Tipo de Documento],'Tabla dinamica'!$T$3,Tabla1[Estado_vigencia],"Alerta"))</f>
        <v/>
      </c>
      <c r="P38" s="26" t="str">
        <f ca="1">IF(OR($R38="",N(K38)=0),"",COUNTIFS(Tabla1[ID Cliente],J38,Tabla1[Tipo de Documento],'Tabla dinamica'!$T$3,Tabla1[Estado de entrega],"Entregado",Tabla1[Estado_vigencia],"Vigente")/K38)</f>
        <v/>
      </c>
      <c r="R3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Row],[Estatus]]=#REF!))&gt;0)),ROWS(R$18:R38)),"")</f>
        <v/>
      </c>
    </row>
    <row r="39" spans="10:18" ht="15">
      <c r="J39" s="24" t="str">
        <f ca="1">IF($R39="","",INDEX(TablaClientes[ID Cliente],$R39)&amp;"")</f>
        <v/>
      </c>
      <c r="K39" s="24" t="str">
        <f ca="1">IF($R39="","",COUNTIFS(Tabla1[ID Cliente],J39,Tabla1[Tipo de Documento],'Tabla dinamica'!$T$3))</f>
        <v/>
      </c>
      <c r="L39" s="24" t="str">
        <f ca="1">IF($R39="","",COUNTIFS(Tabla1[ID Cliente],J39,Tabla1[Tipo de Documento],'Tabla dinamica'!$T$3,Tabla1[Estado de entrega],"Entregado"))</f>
        <v/>
      </c>
      <c r="M39" s="24" t="str">
        <f ca="1">IF($R39="","",COUNTIFS(Tabla1[ID Cliente],J39,Tabla1[Tipo de Documento],'Tabla dinamica'!$T$3,Tabla1[Estado de entrega],"Pendiente"))</f>
        <v/>
      </c>
      <c r="N39" s="24" t="str">
        <f ca="1">IF($R39="","",COUNTIFS(Tabla1[ID Cliente],J39,Tabla1[Tipo de Documento],'Tabla dinamica'!$T$3,Tabla1[Estado_vigencia],"Vencido"))</f>
        <v/>
      </c>
      <c r="O39" s="24" t="str">
        <f ca="1">IF($R39="","",COUNTIFS(Tabla1[ID Cliente],J39,Tabla1[Tipo de Documento],'Tabla dinamica'!$T$3,Tabla1[Estado_vigencia],"Alerta"))</f>
        <v/>
      </c>
      <c r="P39" s="26" t="str">
        <f ca="1">IF(OR($R39="",N(K39)=0),"",COUNTIFS(Tabla1[ID Cliente],J39,Tabla1[Tipo de Documento],'Tabla dinamica'!$T$3,Tabla1[Estado de entrega],"Entregado",Tabla1[Estado_vigencia],"Vigente")/K39)</f>
        <v/>
      </c>
      <c r="R3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Row],[Estatus]]=#REF!))&gt;0)),ROWS(R$18:R39)),"")</f>
        <v/>
      </c>
    </row>
    <row r="40" spans="10:18" ht="15">
      <c r="J40" s="24" t="str">
        <f ca="1">IF($R40="","",INDEX(TablaClientes[ID Cliente],$R40)&amp;"")</f>
        <v/>
      </c>
      <c r="K40" s="24" t="str">
        <f ca="1">IF($R40="","",COUNTIFS(Tabla1[ID Cliente],J40,Tabla1[Tipo de Documento],'Tabla dinamica'!$T$3))</f>
        <v/>
      </c>
      <c r="L40" s="24" t="str">
        <f ca="1">IF($R40="","",COUNTIFS(Tabla1[ID Cliente],J40,Tabla1[Tipo de Documento],'Tabla dinamica'!$T$3,Tabla1[Estado de entrega],"Entregado"))</f>
        <v/>
      </c>
      <c r="M40" s="24" t="str">
        <f ca="1">IF($R40="","",COUNTIFS(Tabla1[ID Cliente],J40,Tabla1[Tipo de Documento],'Tabla dinamica'!$T$3,Tabla1[Estado de entrega],"Pendiente"))</f>
        <v/>
      </c>
      <c r="N40" s="24" t="str">
        <f ca="1">IF($R40="","",COUNTIFS(Tabla1[ID Cliente],J40,Tabla1[Tipo de Documento],'Tabla dinamica'!$T$3,Tabla1[Estado_vigencia],"Vencido"))</f>
        <v/>
      </c>
      <c r="O40" s="24" t="str">
        <f ca="1">IF($R40="","",COUNTIFS(Tabla1[ID Cliente],J40,Tabla1[Tipo de Documento],'Tabla dinamica'!$T$3,Tabla1[Estado_vigencia],"Alerta"))</f>
        <v/>
      </c>
      <c r="P40" s="26" t="str">
        <f ca="1">IF(OR($R40="",N(K40)=0),"",COUNTIFS(Tabla1[ID Cliente],J40,Tabla1[Tipo de Documento],'Tabla dinamica'!$T$3,Tabla1[Estado de entrega],"Entregado",Tabla1[Estado_vigencia],"Vigente")/K40)</f>
        <v/>
      </c>
      <c r="R4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Row],[Estatus]]=#REF!))&gt;0)),ROWS(R$18:R40)),"")</f>
        <v/>
      </c>
    </row>
    <row r="41" spans="10:18" ht="15">
      <c r="J41" s="24" t="str">
        <f ca="1">IF($R41="","",INDEX(TablaClientes[ID Cliente],$R41)&amp;"")</f>
        <v/>
      </c>
      <c r="K41" s="24" t="str">
        <f ca="1">IF($R41="","",COUNTIFS(Tabla1[ID Cliente],J41,Tabla1[Tipo de Documento],'Tabla dinamica'!$T$3))</f>
        <v/>
      </c>
      <c r="L41" s="24" t="str">
        <f ca="1">IF($R41="","",COUNTIFS(Tabla1[ID Cliente],J41,Tabla1[Tipo de Documento],'Tabla dinamica'!$T$3,Tabla1[Estado de entrega],"Entregado"))</f>
        <v/>
      </c>
      <c r="M41" s="24" t="str">
        <f ca="1">IF($R41="","",COUNTIFS(Tabla1[ID Cliente],J41,Tabla1[Tipo de Documento],'Tabla dinamica'!$T$3,Tabla1[Estado de entrega],"Pendiente"))</f>
        <v/>
      </c>
      <c r="N41" s="24" t="str">
        <f ca="1">IF($R41="","",COUNTIFS(Tabla1[ID Cliente],J41,Tabla1[Tipo de Documento],'Tabla dinamica'!$T$3,Tabla1[Estado_vigencia],"Vencido"))</f>
        <v/>
      </c>
      <c r="O41" s="24" t="str">
        <f ca="1">IF($R41="","",COUNTIFS(Tabla1[ID Cliente],J41,Tabla1[Tipo de Documento],'Tabla dinamica'!$T$3,Tabla1[Estado_vigencia],"Alerta"))</f>
        <v/>
      </c>
      <c r="P41" s="26" t="str">
        <f ca="1">IF(OR($R41="",N(K41)=0),"",COUNTIFS(Tabla1[ID Cliente],J41,Tabla1[Tipo de Documento],'Tabla dinamica'!$T$3,Tabla1[Estado de entrega],"Entregado",Tabla1[Estado_vigencia],"Vigente")/K41)</f>
        <v/>
      </c>
      <c r="R4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Row],[Estatus]]=#REF!))&gt;0)),ROWS(R$18:R41)),"")</f>
        <v/>
      </c>
    </row>
    <row r="42" spans="10:18" ht="15">
      <c r="J42" s="24" t="str">
        <f ca="1">IF($R42="","",INDEX(TablaClientes[ID Cliente],$R42)&amp;"")</f>
        <v/>
      </c>
      <c r="K42" s="24" t="str">
        <f ca="1">IF($R42="","",COUNTIFS(Tabla1[ID Cliente],J42,Tabla1[Tipo de Documento],'Tabla dinamica'!$T$3))</f>
        <v/>
      </c>
      <c r="L42" s="24" t="str">
        <f ca="1">IF($R42="","",COUNTIFS(Tabla1[ID Cliente],J42,Tabla1[Tipo de Documento],'Tabla dinamica'!$T$3,Tabla1[Estado de entrega],"Entregado"))</f>
        <v/>
      </c>
      <c r="M42" s="24" t="str">
        <f ca="1">IF($R42="","",COUNTIFS(Tabla1[ID Cliente],J42,Tabla1[Tipo de Documento],'Tabla dinamica'!$T$3,Tabla1[Estado de entrega],"Pendiente"))</f>
        <v/>
      </c>
      <c r="N42" s="24" t="str">
        <f ca="1">IF($R42="","",COUNTIFS(Tabla1[ID Cliente],J42,Tabla1[Tipo de Documento],'Tabla dinamica'!$T$3,Tabla1[Estado_vigencia],"Vencido"))</f>
        <v/>
      </c>
      <c r="O42" s="24" t="str">
        <f ca="1">IF($R42="","",COUNTIFS(Tabla1[ID Cliente],J42,Tabla1[Tipo de Documento],'Tabla dinamica'!$T$3,Tabla1[Estado_vigencia],"Alerta"))</f>
        <v/>
      </c>
      <c r="P42" s="26" t="str">
        <f ca="1">IF(OR($R42="",N(K42)=0),"",COUNTIFS(Tabla1[ID Cliente],J42,Tabla1[Tipo de Documento],'Tabla dinamica'!$T$3,Tabla1[Estado de entrega],"Entregado",Tabla1[Estado_vigencia],"Vigente")/K42)</f>
        <v/>
      </c>
      <c r="R4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Row],[Estatus]]=#REF!))&gt;0)),ROWS(R$18:R42)),"")</f>
        <v/>
      </c>
    </row>
    <row r="43" spans="10:18" ht="15">
      <c r="J43" s="24" t="str">
        <f ca="1">IF($R43="","",INDEX(TablaClientes[ID Cliente],$R43)&amp;"")</f>
        <v/>
      </c>
      <c r="K43" s="24" t="str">
        <f ca="1">IF($R43="","",COUNTIFS(Tabla1[ID Cliente],J43,Tabla1[Tipo de Documento],'Tabla dinamica'!$T$3))</f>
        <v/>
      </c>
      <c r="L43" s="24" t="str">
        <f ca="1">IF($R43="","",COUNTIFS(Tabla1[ID Cliente],J43,Tabla1[Tipo de Documento],'Tabla dinamica'!$T$3,Tabla1[Estado de entrega],"Entregado"))</f>
        <v/>
      </c>
      <c r="M43" s="24" t="str">
        <f ca="1">IF($R43="","",COUNTIFS(Tabla1[ID Cliente],J43,Tabla1[Tipo de Documento],'Tabla dinamica'!$T$3,Tabla1[Estado de entrega],"Pendiente"))</f>
        <v/>
      </c>
      <c r="N43" s="24" t="str">
        <f ca="1">IF($R43="","",COUNTIFS(Tabla1[ID Cliente],J43,Tabla1[Tipo de Documento],'Tabla dinamica'!$T$3,Tabla1[Estado_vigencia],"Vencido"))</f>
        <v/>
      </c>
      <c r="O43" s="24" t="str">
        <f ca="1">IF($R43="","",COUNTIFS(Tabla1[ID Cliente],J43,Tabla1[Tipo de Documento],'Tabla dinamica'!$T$3,Tabla1[Estado_vigencia],"Alerta"))</f>
        <v/>
      </c>
      <c r="P43" s="26" t="str">
        <f ca="1">IF(OR($R43="",N(K43)=0),"",COUNTIFS(Tabla1[ID Cliente],J43,Tabla1[Tipo de Documento],'Tabla dinamica'!$T$3,Tabla1[Estado de entrega],"Entregado",Tabla1[Estado_vigencia],"Vigente")/K43)</f>
        <v/>
      </c>
      <c r="R4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Row],[Estatus]]=#REF!))&gt;0)),ROWS(R$18:R43)),"")</f>
        <v/>
      </c>
    </row>
    <row r="44" spans="10:18" ht="15">
      <c r="J44" s="24" t="str">
        <f ca="1">IF($R44="","",INDEX(TablaClientes[ID Cliente],$R44)&amp;"")</f>
        <v/>
      </c>
      <c r="K44" s="24" t="str">
        <f ca="1">IF($R44="","",COUNTIFS(Tabla1[ID Cliente],J44,Tabla1[Tipo de Documento],'Tabla dinamica'!$T$3))</f>
        <v/>
      </c>
      <c r="L44" s="24" t="str">
        <f ca="1">IF($R44="","",COUNTIFS(Tabla1[ID Cliente],J44,Tabla1[Tipo de Documento],'Tabla dinamica'!$T$3,Tabla1[Estado de entrega],"Entregado"))</f>
        <v/>
      </c>
      <c r="M44" s="24" t="str">
        <f ca="1">IF($R44="","",COUNTIFS(Tabla1[ID Cliente],J44,Tabla1[Tipo de Documento],'Tabla dinamica'!$T$3,Tabla1[Estado de entrega],"Pendiente"))</f>
        <v/>
      </c>
      <c r="N44" s="24" t="str">
        <f ca="1">IF($R44="","",COUNTIFS(Tabla1[ID Cliente],J44,Tabla1[Tipo de Documento],'Tabla dinamica'!$T$3,Tabla1[Estado_vigencia],"Vencido"))</f>
        <v/>
      </c>
      <c r="O44" s="24" t="str">
        <f ca="1">IF($R44="","",COUNTIFS(Tabla1[ID Cliente],J44,Tabla1[Tipo de Documento],'Tabla dinamica'!$T$3,Tabla1[Estado_vigencia],"Alerta"))</f>
        <v/>
      </c>
      <c r="P44" s="26" t="str">
        <f ca="1">IF(OR($R44="",N(K44)=0),"",COUNTIFS(Tabla1[ID Cliente],J44,Tabla1[Tipo de Documento],'Tabla dinamica'!$T$3,Tabla1[Estado de entrega],"Entregado",Tabla1[Estado_vigencia],"Vigente")/K44)</f>
        <v/>
      </c>
      <c r="R4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Row],[Estatus]]=#REF!))&gt;0)),ROWS(R$18:R44)),"")</f>
        <v/>
      </c>
    </row>
    <row r="45" spans="10:18" ht="15">
      <c r="J45" s="24" t="str">
        <f ca="1">IF($R45="","",INDEX(TablaClientes[ID Cliente],$R45)&amp;"")</f>
        <v/>
      </c>
      <c r="K45" s="24" t="str">
        <f ca="1">IF($R45="","",COUNTIFS(Tabla1[ID Cliente],J45,Tabla1[Tipo de Documento],'Tabla dinamica'!$T$3))</f>
        <v/>
      </c>
      <c r="L45" s="24" t="str">
        <f ca="1">IF($R45="","",COUNTIFS(Tabla1[ID Cliente],J45,Tabla1[Tipo de Documento],'Tabla dinamica'!$T$3,Tabla1[Estado de entrega],"Entregado"))</f>
        <v/>
      </c>
      <c r="M45" s="24" t="str">
        <f ca="1">IF($R45="","",COUNTIFS(Tabla1[ID Cliente],J45,Tabla1[Tipo de Documento],'Tabla dinamica'!$T$3,Tabla1[Estado de entrega],"Pendiente"))</f>
        <v/>
      </c>
      <c r="N45" s="24" t="str">
        <f ca="1">IF($R45="","",COUNTIFS(Tabla1[ID Cliente],J45,Tabla1[Tipo de Documento],'Tabla dinamica'!$T$3,Tabla1[Estado_vigencia],"Vencido"))</f>
        <v/>
      </c>
      <c r="O45" s="24" t="str">
        <f ca="1">IF($R45="","",COUNTIFS(Tabla1[ID Cliente],J45,Tabla1[Tipo de Documento],'Tabla dinamica'!$T$3,Tabla1[Estado_vigencia],"Alerta"))</f>
        <v/>
      </c>
      <c r="P45" s="26" t="str">
        <f ca="1">IF(OR($R45="",N(K45)=0),"",COUNTIFS(Tabla1[ID Cliente],J45,Tabla1[Tipo de Documento],'Tabla dinamica'!$T$3,Tabla1[Estado de entrega],"Entregado",Tabla1[Estado_vigencia],"Vigente")/K45)</f>
        <v/>
      </c>
      <c r="R4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Row],[Estatus]]=#REF!))&gt;0)),ROWS(R$18:R45)),"")</f>
        <v/>
      </c>
    </row>
    <row r="46" spans="10:18" ht="15">
      <c r="J46" s="24" t="str">
        <f ca="1">IF($R46="","",INDEX(TablaClientes[ID Cliente],$R46)&amp;"")</f>
        <v/>
      </c>
      <c r="K46" s="24" t="str">
        <f ca="1">IF($R46="","",COUNTIFS(Tabla1[ID Cliente],J46,Tabla1[Tipo de Documento],'Tabla dinamica'!$T$3))</f>
        <v/>
      </c>
      <c r="L46" s="24" t="str">
        <f ca="1">IF($R46="","",COUNTIFS(Tabla1[ID Cliente],J46,Tabla1[Tipo de Documento],'Tabla dinamica'!$T$3,Tabla1[Estado de entrega],"Entregado"))</f>
        <v/>
      </c>
      <c r="M46" s="24" t="str">
        <f ca="1">IF($R46="","",COUNTIFS(Tabla1[ID Cliente],J46,Tabla1[Tipo de Documento],'Tabla dinamica'!$T$3,Tabla1[Estado de entrega],"Pendiente"))</f>
        <v/>
      </c>
      <c r="N46" s="24" t="str">
        <f ca="1">IF($R46="","",COUNTIFS(Tabla1[ID Cliente],J46,Tabla1[Tipo de Documento],'Tabla dinamica'!$T$3,Tabla1[Estado_vigencia],"Vencido"))</f>
        <v/>
      </c>
      <c r="O46" s="24" t="str">
        <f ca="1">IF($R46="","",COUNTIFS(Tabla1[ID Cliente],J46,Tabla1[Tipo de Documento],'Tabla dinamica'!$T$3,Tabla1[Estado_vigencia],"Alerta"))</f>
        <v/>
      </c>
      <c r="P46" s="26" t="str">
        <f ca="1">IF(OR($R46="",N(K46)=0),"",COUNTIFS(Tabla1[ID Cliente],J46,Tabla1[Tipo de Documento],'Tabla dinamica'!$T$3,Tabla1[Estado de entrega],"Entregado",Tabla1[Estado_vigencia],"Vigente")/K46)</f>
        <v/>
      </c>
      <c r="R4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Row],[Estatus]]=#REF!))&gt;0)),ROWS(R$18:R46)),"")</f>
        <v/>
      </c>
    </row>
    <row r="47" spans="10:18" ht="15">
      <c r="J47" s="24" t="str">
        <f ca="1">IF($R47="","",INDEX(TablaClientes[ID Cliente],$R47)&amp;"")</f>
        <v/>
      </c>
      <c r="K47" s="24" t="str">
        <f ca="1">IF($R47="","",COUNTIFS(Tabla1[ID Cliente],J47,Tabla1[Tipo de Documento],'Tabla dinamica'!$T$3))</f>
        <v/>
      </c>
      <c r="L47" s="24" t="str">
        <f ca="1">IF($R47="","",COUNTIFS(Tabla1[ID Cliente],J47,Tabla1[Tipo de Documento],'Tabla dinamica'!$T$3,Tabla1[Estado de entrega],"Entregado"))</f>
        <v/>
      </c>
      <c r="M47" s="24" t="str">
        <f ca="1">IF($R47="","",COUNTIFS(Tabla1[ID Cliente],J47,Tabla1[Tipo de Documento],'Tabla dinamica'!$T$3,Tabla1[Estado de entrega],"Pendiente"))</f>
        <v/>
      </c>
      <c r="N47" s="24" t="str">
        <f ca="1">IF($R47="","",COUNTIFS(Tabla1[ID Cliente],J47,Tabla1[Tipo de Documento],'Tabla dinamica'!$T$3,Tabla1[Estado_vigencia],"Vencido"))</f>
        <v/>
      </c>
      <c r="O47" s="24" t="str">
        <f ca="1">IF($R47="","",COUNTIFS(Tabla1[ID Cliente],J47,Tabla1[Tipo de Documento],'Tabla dinamica'!$T$3,Tabla1[Estado_vigencia],"Alerta"))</f>
        <v/>
      </c>
      <c r="P47" s="26" t="str">
        <f ca="1">IF(OR($R47="",N(K47)=0),"",COUNTIFS(Tabla1[ID Cliente],J47,Tabla1[Tipo de Documento],'Tabla dinamica'!$T$3,Tabla1[Estado de entrega],"Entregado",Tabla1[Estado_vigencia],"Vigente")/K47)</f>
        <v/>
      </c>
      <c r="R4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Row],[Estatus]]=#REF!))&gt;0)),ROWS(R$18:R47)),"")</f>
        <v/>
      </c>
    </row>
    <row r="48" spans="10:18" ht="15">
      <c r="J48" s="24" t="str">
        <f ca="1">IF($R48="","",INDEX(TablaClientes[ID Cliente],$R48)&amp;"")</f>
        <v/>
      </c>
      <c r="K48" s="24" t="str">
        <f ca="1">IF($R48="","",COUNTIFS(Tabla1[ID Cliente],J48,Tabla1[Tipo de Documento],'Tabla dinamica'!$T$3))</f>
        <v/>
      </c>
      <c r="L48" s="24" t="str">
        <f ca="1">IF($R48="","",COUNTIFS(Tabla1[ID Cliente],J48,Tabla1[Tipo de Documento],'Tabla dinamica'!$T$3,Tabla1[Estado de entrega],"Entregado"))</f>
        <v/>
      </c>
      <c r="M48" s="24" t="str">
        <f ca="1">IF($R48="","",COUNTIFS(Tabla1[ID Cliente],J48,Tabla1[Tipo de Documento],'Tabla dinamica'!$T$3,Tabla1[Estado de entrega],"Pendiente"))</f>
        <v/>
      </c>
      <c r="N48" s="24" t="str">
        <f ca="1">IF($R48="","",COUNTIFS(Tabla1[ID Cliente],J48,Tabla1[Tipo de Documento],'Tabla dinamica'!$T$3,Tabla1[Estado_vigencia],"Vencido"))</f>
        <v/>
      </c>
      <c r="O48" s="24" t="str">
        <f ca="1">IF($R48="","",COUNTIFS(Tabla1[ID Cliente],J48,Tabla1[Tipo de Documento],'Tabla dinamica'!$T$3,Tabla1[Estado_vigencia],"Alerta"))</f>
        <v/>
      </c>
      <c r="P48" s="26" t="str">
        <f ca="1">IF(OR($R48="",N(K48)=0),"",COUNTIFS(Tabla1[ID Cliente],J48,Tabla1[Tipo de Documento],'Tabla dinamica'!$T$3,Tabla1[Estado de entrega],"Entregado",Tabla1[Estado_vigencia],"Vigente")/K48)</f>
        <v/>
      </c>
      <c r="R4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Row],[Estatus]]=#REF!))&gt;0)),ROWS(R$18:R48)),"")</f>
        <v/>
      </c>
    </row>
    <row r="49" spans="10:18" ht="15">
      <c r="J49" s="24" t="str">
        <f ca="1">IF($R49="","",INDEX(TablaClientes[ID Cliente],$R49)&amp;"")</f>
        <v/>
      </c>
      <c r="K49" s="24" t="str">
        <f ca="1">IF($R49="","",COUNTIFS(Tabla1[ID Cliente],J49,Tabla1[Tipo de Documento],'Tabla dinamica'!$T$3))</f>
        <v/>
      </c>
      <c r="L49" s="24" t="str">
        <f ca="1">IF($R49="","",COUNTIFS(Tabla1[ID Cliente],J49,Tabla1[Tipo de Documento],'Tabla dinamica'!$T$3,Tabla1[Estado de entrega],"Entregado"))</f>
        <v/>
      </c>
      <c r="M49" s="24" t="str">
        <f ca="1">IF($R49="","",COUNTIFS(Tabla1[ID Cliente],J49,Tabla1[Tipo de Documento],'Tabla dinamica'!$T$3,Tabla1[Estado de entrega],"Pendiente"))</f>
        <v/>
      </c>
      <c r="N49" s="24" t="str">
        <f ca="1">IF($R49="","",COUNTIFS(Tabla1[ID Cliente],J49,Tabla1[Tipo de Documento],'Tabla dinamica'!$T$3,Tabla1[Estado_vigencia],"Vencido"))</f>
        <v/>
      </c>
      <c r="O49" s="24" t="str">
        <f ca="1">IF($R49="","",COUNTIFS(Tabla1[ID Cliente],J49,Tabla1[Tipo de Documento],'Tabla dinamica'!$T$3,Tabla1[Estado_vigencia],"Alerta"))</f>
        <v/>
      </c>
      <c r="P49" s="26" t="str">
        <f ca="1">IF(OR($R49="",N(K49)=0),"",COUNTIFS(Tabla1[ID Cliente],J49,Tabla1[Tipo de Documento],'Tabla dinamica'!$T$3,Tabla1[Estado de entrega],"Entregado",Tabla1[Estado_vigencia],"Vigente")/K49)</f>
        <v/>
      </c>
      <c r="R4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Row],[Estatus]]=#REF!))&gt;0)),ROWS(R$18:R49)),"")</f>
        <v/>
      </c>
    </row>
    <row r="50" spans="10:18" ht="15">
      <c r="J50" s="24" t="str">
        <f ca="1">IF($R50="","",INDEX(TablaClientes[ID Cliente],$R50)&amp;"")</f>
        <v/>
      </c>
      <c r="K50" s="24" t="str">
        <f ca="1">IF($R50="","",COUNTIFS(Tabla1[ID Cliente],J50,Tabla1[Tipo de Documento],'Tabla dinamica'!$T$3))</f>
        <v/>
      </c>
      <c r="L50" s="24" t="str">
        <f ca="1">IF($R50="","",COUNTIFS(Tabla1[ID Cliente],J50,Tabla1[Tipo de Documento],'Tabla dinamica'!$T$3,Tabla1[Estado de entrega],"Entregado"))</f>
        <v/>
      </c>
      <c r="M50" s="24" t="str">
        <f ca="1">IF($R50="","",COUNTIFS(Tabla1[ID Cliente],J50,Tabla1[Tipo de Documento],'Tabla dinamica'!$T$3,Tabla1[Estado de entrega],"Pendiente"))</f>
        <v/>
      </c>
      <c r="N50" s="24" t="str">
        <f ca="1">IF($R50="","",COUNTIFS(Tabla1[ID Cliente],J50,Tabla1[Tipo de Documento],'Tabla dinamica'!$T$3,Tabla1[Estado_vigencia],"Vencido"))</f>
        <v/>
      </c>
      <c r="O50" s="24" t="str">
        <f ca="1">IF($R50="","",COUNTIFS(Tabla1[ID Cliente],J50,Tabla1[Tipo de Documento],'Tabla dinamica'!$T$3,Tabla1[Estado_vigencia],"Alerta"))</f>
        <v/>
      </c>
      <c r="P50" s="26" t="str">
        <f ca="1">IF(OR($R50="",N(K50)=0),"",COUNTIFS(Tabla1[ID Cliente],J50,Tabla1[Tipo de Documento],'Tabla dinamica'!$T$3,Tabla1[Estado de entrega],"Entregado",Tabla1[Estado_vigencia],"Vigente")/K50)</f>
        <v/>
      </c>
      <c r="R5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Row],[Estatus]]=#REF!))&gt;0)),ROWS(R$18:R50)),"")</f>
        <v/>
      </c>
    </row>
    <row r="51" spans="10:18" ht="24.95" customHeight="1">
      <c r="J51" s="24" t="str">
        <f ca="1">IF($R51="","",INDEX(TablaClientes[ID Cliente],$R51)&amp;"")</f>
        <v/>
      </c>
      <c r="K51" s="24" t="str">
        <f ca="1">IF($R51="","",COUNTIFS(Tabla1[ID Cliente],J51,Tabla1[Tipo de Documento],'Tabla dinamica'!$T$3))</f>
        <v/>
      </c>
      <c r="L51" s="24" t="str">
        <f ca="1">IF($R51="","",COUNTIFS(Tabla1[ID Cliente],J51,Tabla1[Tipo de Documento],'Tabla dinamica'!$T$3,Tabla1[Estado de entrega],"Entregado"))</f>
        <v/>
      </c>
      <c r="M51" s="24" t="str">
        <f ca="1">IF($R51="","",COUNTIFS(Tabla1[ID Cliente],J51,Tabla1[Tipo de Documento],'Tabla dinamica'!$T$3,Tabla1[Estado de entrega],"Pendiente"))</f>
        <v/>
      </c>
      <c r="N51" s="24" t="str">
        <f ca="1">IF($R51="","",COUNTIFS(Tabla1[ID Cliente],J51,Tabla1[Tipo de Documento],'Tabla dinamica'!$T$3,Tabla1[Estado_vigencia],"Vencido"))</f>
        <v/>
      </c>
      <c r="O51" s="24" t="str">
        <f ca="1">IF($R51="","",COUNTIFS(Tabla1[ID Cliente],J51,Tabla1[Tipo de Documento],'Tabla dinamica'!$T$3,Tabla1[Estado_vigencia],"Alerta"))</f>
        <v/>
      </c>
      <c r="P51" s="26" t="str">
        <f ca="1">IF(OR($R51="",N(K51)=0),"",COUNTIFS(Tabla1[ID Cliente],J51,Tabla1[Tipo de Documento],'Tabla dinamica'!$T$3,Tabla1[Estado de entrega],"Entregado",Tabla1[Estado_vigencia],"Vigente")/K51)</f>
        <v/>
      </c>
      <c r="R5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Row],[Estatus]]=#REF!))&gt;0)),ROWS(R$18:R51)),"")</f>
        <v/>
      </c>
    </row>
    <row r="52" spans="10:18" ht="24.95" customHeight="1">
      <c r="J52" s="24" t="str">
        <f ca="1">IF($R52="","",INDEX(TablaClientes[ID Cliente],$R52)&amp;"")</f>
        <v/>
      </c>
      <c r="K52" s="24" t="str">
        <f ca="1">IF($R52="","",COUNTIFS(Tabla1[ID Cliente],J52,Tabla1[Tipo de Documento],'Tabla dinamica'!$T$3))</f>
        <v/>
      </c>
      <c r="L52" s="24" t="str">
        <f ca="1">IF($R52="","",COUNTIFS(Tabla1[ID Cliente],J52,Tabla1[Tipo de Documento],'Tabla dinamica'!$T$3,Tabla1[Estado de entrega],"Entregado"))</f>
        <v/>
      </c>
      <c r="M52" s="24" t="str">
        <f ca="1">IF($R52="","",COUNTIFS(Tabla1[ID Cliente],J52,Tabla1[Tipo de Documento],'Tabla dinamica'!$T$3,Tabla1[Estado de entrega],"Pendiente"))</f>
        <v/>
      </c>
      <c r="N52" s="24" t="str">
        <f ca="1">IF($R52="","",COUNTIFS(Tabla1[ID Cliente],J52,Tabla1[Tipo de Documento],'Tabla dinamica'!$T$3,Tabla1[Estado_vigencia],"Vencido"))</f>
        <v/>
      </c>
      <c r="O52" s="24" t="str">
        <f ca="1">IF($R52="","",COUNTIFS(Tabla1[ID Cliente],J52,Tabla1[Tipo de Documento],'Tabla dinamica'!$T$3,Tabla1[Estado_vigencia],"Alerta"))</f>
        <v/>
      </c>
      <c r="P52" s="26" t="str">
        <f ca="1">IF(OR($R52="",N(K52)=0),"",COUNTIFS(Tabla1[ID Cliente],J52,Tabla1[Tipo de Documento],'Tabla dinamica'!$T$3,Tabla1[Estado de entrega],"Entregado",Tabla1[Estado_vigencia],"Vigente")/K52)</f>
        <v/>
      </c>
      <c r="R5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Row],[Estatus]]=#REF!))&gt;0)),ROWS(R$18:R52)),"")</f>
        <v/>
      </c>
    </row>
    <row r="53" spans="10:18" ht="24.95" customHeight="1">
      <c r="J53" s="24" t="str">
        <f ca="1">IF($R53="","",INDEX(TablaClientes[ID Cliente],$R53)&amp;"")</f>
        <v/>
      </c>
      <c r="K53" s="24" t="str">
        <f ca="1">IF($R53="","",COUNTIFS(Tabla1[ID Cliente],J53,Tabla1[Tipo de Documento],'Tabla dinamica'!$T$3))</f>
        <v/>
      </c>
      <c r="L53" s="24" t="str">
        <f ca="1">IF($R53="","",COUNTIFS(Tabla1[ID Cliente],J53,Tabla1[Tipo de Documento],'Tabla dinamica'!$T$3,Tabla1[Estado de entrega],"Entregado"))</f>
        <v/>
      </c>
      <c r="M53" s="24" t="str">
        <f ca="1">IF($R53="","",COUNTIFS(Tabla1[ID Cliente],J53,Tabla1[Tipo de Documento],'Tabla dinamica'!$T$3,Tabla1[Estado de entrega],"Pendiente"))</f>
        <v/>
      </c>
      <c r="N53" s="24" t="str">
        <f ca="1">IF($R53="","",COUNTIFS(Tabla1[ID Cliente],J53,Tabla1[Tipo de Documento],'Tabla dinamica'!$T$3,Tabla1[Estado_vigencia],"Vencido"))</f>
        <v/>
      </c>
      <c r="O53" s="24" t="str">
        <f ca="1">IF($R53="","",COUNTIFS(Tabla1[ID Cliente],J53,Tabla1[Tipo de Documento],'Tabla dinamica'!$T$3,Tabla1[Estado_vigencia],"Alerta"))</f>
        <v/>
      </c>
      <c r="P53" s="26" t="str">
        <f ca="1">IF(OR($R53="",N(K53)=0),"",COUNTIFS(Tabla1[ID Cliente],J53,Tabla1[Tipo de Documento],'Tabla dinamica'!$T$3,Tabla1[Estado de entrega],"Entregado",Tabla1[Estado_vigencia],"Vigente")/K53)</f>
        <v/>
      </c>
      <c r="R5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Row],[Estatus]]=#REF!))&gt;0)),ROWS(R$18:R53)),"")</f>
        <v/>
      </c>
    </row>
    <row r="54" spans="10:18" ht="24.95" customHeight="1">
      <c r="J54" s="24" t="str">
        <f ca="1">IF($R54="","",INDEX(TablaClientes[ID Cliente],$R54)&amp;"")</f>
        <v/>
      </c>
      <c r="K54" s="24" t="str">
        <f ca="1">IF($R54="","",COUNTIFS(Tabla1[ID Cliente],J54,Tabla1[Tipo de Documento],'Tabla dinamica'!$T$3))</f>
        <v/>
      </c>
      <c r="L54" s="24" t="str">
        <f ca="1">IF($R54="","",COUNTIFS(Tabla1[ID Cliente],J54,Tabla1[Tipo de Documento],'Tabla dinamica'!$T$3,Tabla1[Estado de entrega],"Entregado"))</f>
        <v/>
      </c>
      <c r="M54" s="24" t="str">
        <f ca="1">IF($R54="","",COUNTIFS(Tabla1[ID Cliente],J54,Tabla1[Tipo de Documento],'Tabla dinamica'!$T$3,Tabla1[Estado de entrega],"Pendiente"))</f>
        <v/>
      </c>
      <c r="N54" s="24" t="str">
        <f ca="1">IF($R54="","",COUNTIFS(Tabla1[ID Cliente],J54,Tabla1[Tipo de Documento],'Tabla dinamica'!$T$3,Tabla1[Estado_vigencia],"Vencido"))</f>
        <v/>
      </c>
      <c r="O54" s="24" t="str">
        <f ca="1">IF($R54="","",COUNTIFS(Tabla1[ID Cliente],J54,Tabla1[Tipo de Documento],'Tabla dinamica'!$T$3,Tabla1[Estado_vigencia],"Alerta"))</f>
        <v/>
      </c>
      <c r="P54" s="26" t="str">
        <f ca="1">IF(OR($R54="",N(K54)=0),"",COUNTIFS(Tabla1[ID Cliente],J54,Tabla1[Tipo de Documento],'Tabla dinamica'!$T$3,Tabla1[Estado de entrega],"Entregado",Tabla1[Estado_vigencia],"Vigente")/K54)</f>
        <v/>
      </c>
      <c r="R5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Row],[Estatus]]=#REF!))&gt;0)),ROWS(R$18:R54)),"")</f>
        <v/>
      </c>
    </row>
    <row r="55" spans="10:18" ht="24.95" customHeight="1">
      <c r="J55" s="24" t="str">
        <f ca="1">IF($R55="","",INDEX(TablaClientes[ID Cliente],$R55)&amp;"")</f>
        <v/>
      </c>
      <c r="K55" s="24" t="str">
        <f ca="1">IF($R55="","",COUNTIFS(Tabla1[ID Cliente],J55,Tabla1[Tipo de Documento],'Tabla dinamica'!$T$3))</f>
        <v/>
      </c>
      <c r="L55" s="24" t="str">
        <f ca="1">IF($R55="","",COUNTIFS(Tabla1[ID Cliente],J55,Tabla1[Tipo de Documento],'Tabla dinamica'!$T$3,Tabla1[Estado de entrega],"Entregado"))</f>
        <v/>
      </c>
      <c r="M55" s="24" t="str">
        <f ca="1">IF($R55="","",COUNTIFS(Tabla1[ID Cliente],J55,Tabla1[Tipo de Documento],'Tabla dinamica'!$T$3,Tabla1[Estado de entrega],"Pendiente"))</f>
        <v/>
      </c>
      <c r="N55" s="24" t="str">
        <f ca="1">IF($R55="","",COUNTIFS(Tabla1[ID Cliente],J55,Tabla1[Tipo de Documento],'Tabla dinamica'!$T$3,Tabla1[Estado_vigencia],"Vencido"))</f>
        <v/>
      </c>
      <c r="O55" s="24" t="str">
        <f ca="1">IF($R55="","",COUNTIFS(Tabla1[ID Cliente],J55,Tabla1[Tipo de Documento],'Tabla dinamica'!$T$3,Tabla1[Estado_vigencia],"Alerta"))</f>
        <v/>
      </c>
      <c r="P55" s="26" t="str">
        <f ca="1">IF(OR($R55="",N(K55)=0),"",COUNTIFS(Tabla1[ID Cliente],J55,Tabla1[Tipo de Documento],'Tabla dinamica'!$T$3,Tabla1[Estado de entrega],"Entregado",Tabla1[Estado_vigencia],"Vigente")/K55)</f>
        <v/>
      </c>
      <c r="R5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Row],[Estatus]]=#REF!))&gt;0)),ROWS(R$18:R55)),"")</f>
        <v/>
      </c>
    </row>
    <row r="56" spans="10:18" ht="24.95" customHeight="1">
      <c r="J56" s="24" t="str">
        <f ca="1">IF($R56="","",INDEX(TablaClientes[ID Cliente],$R56)&amp;"")</f>
        <v/>
      </c>
      <c r="K56" s="24" t="str">
        <f ca="1">IF($R56="","",COUNTIFS(Tabla1[ID Cliente],J56,Tabla1[Tipo de Documento],'Tabla dinamica'!$T$3))</f>
        <v/>
      </c>
      <c r="L56" s="24" t="str">
        <f ca="1">IF($R56="","",COUNTIFS(Tabla1[ID Cliente],J56,Tabla1[Tipo de Documento],'Tabla dinamica'!$T$3,Tabla1[Estado de entrega],"Entregado"))</f>
        <v/>
      </c>
      <c r="M56" s="24" t="str">
        <f ca="1">IF($R56="","",COUNTIFS(Tabla1[ID Cliente],J56,Tabla1[Tipo de Documento],'Tabla dinamica'!$T$3,Tabla1[Estado de entrega],"Pendiente"))</f>
        <v/>
      </c>
      <c r="N56" s="24" t="str">
        <f ca="1">IF($R56="","",COUNTIFS(Tabla1[ID Cliente],J56,Tabla1[Tipo de Documento],'Tabla dinamica'!$T$3,Tabla1[Estado_vigencia],"Vencido"))</f>
        <v/>
      </c>
      <c r="O56" s="24" t="str">
        <f ca="1">IF($R56="","",COUNTIFS(Tabla1[ID Cliente],J56,Tabla1[Tipo de Documento],'Tabla dinamica'!$T$3,Tabla1[Estado_vigencia],"Alerta"))</f>
        <v/>
      </c>
      <c r="P56" s="26" t="str">
        <f ca="1">IF(OR($R56="",N(K56)=0),"",COUNTIFS(Tabla1[ID Cliente],J56,Tabla1[Tipo de Documento],'Tabla dinamica'!$T$3,Tabla1[Estado de entrega],"Entregado",Tabla1[Estado_vigencia],"Vigente")/K56)</f>
        <v/>
      </c>
      <c r="R5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Row],[Estatus]]=#REF!))&gt;0)),ROWS(R$18:R56)),"")</f>
        <v/>
      </c>
    </row>
    <row r="57" spans="10:18" ht="24.95" customHeight="1">
      <c r="J57" s="24" t="str">
        <f ca="1">IF($R57="","",INDEX(TablaClientes[ID Cliente],$R57)&amp;"")</f>
        <v/>
      </c>
      <c r="K57" s="24" t="str">
        <f ca="1">IF($R57="","",COUNTIFS(Tabla1[ID Cliente],J57,Tabla1[Tipo de Documento],'Tabla dinamica'!$T$3))</f>
        <v/>
      </c>
      <c r="L57" s="24" t="str">
        <f ca="1">IF($R57="","",COUNTIFS(Tabla1[ID Cliente],J57,Tabla1[Tipo de Documento],'Tabla dinamica'!$T$3,Tabla1[Estado de entrega],"Entregado"))</f>
        <v/>
      </c>
      <c r="M57" s="24" t="str">
        <f ca="1">IF($R57="","",COUNTIFS(Tabla1[ID Cliente],J57,Tabla1[Tipo de Documento],'Tabla dinamica'!$T$3,Tabla1[Estado de entrega],"Pendiente"))</f>
        <v/>
      </c>
      <c r="N57" s="24" t="str">
        <f ca="1">IF($R57="","",COUNTIFS(Tabla1[ID Cliente],J57,Tabla1[Tipo de Documento],'Tabla dinamica'!$T$3,Tabla1[Estado_vigencia],"Vencido"))</f>
        <v/>
      </c>
      <c r="O57" s="24" t="str">
        <f ca="1">IF($R57="","",COUNTIFS(Tabla1[ID Cliente],J57,Tabla1[Tipo de Documento],'Tabla dinamica'!$T$3,Tabla1[Estado_vigencia],"Alerta"))</f>
        <v/>
      </c>
      <c r="P57" s="26" t="str">
        <f ca="1">IF(OR($R57="",N(K57)=0),"",COUNTIFS(Tabla1[ID Cliente],J57,Tabla1[Tipo de Documento],'Tabla dinamica'!$T$3,Tabla1[Estado de entrega],"Entregado",Tabla1[Estado_vigencia],"Vigente")/K57)</f>
        <v/>
      </c>
      <c r="R5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Row],[Estatus]]=#REF!))&gt;0)),ROWS(R$18:R57)),"")</f>
        <v/>
      </c>
    </row>
    <row r="58" spans="10:18" ht="24.95" customHeight="1">
      <c r="J58" s="24" t="str">
        <f ca="1">IF($R58="","",INDEX(TablaClientes[ID Cliente],$R58)&amp;"")</f>
        <v/>
      </c>
      <c r="K58" s="24" t="str">
        <f ca="1">IF($R58="","",COUNTIFS(Tabla1[ID Cliente],J58,Tabla1[Tipo de Documento],'Tabla dinamica'!$T$3))</f>
        <v/>
      </c>
      <c r="L58" s="24" t="str">
        <f ca="1">IF($R58="","",COUNTIFS(Tabla1[ID Cliente],J58,Tabla1[Tipo de Documento],'Tabla dinamica'!$T$3,Tabla1[Estado de entrega],"Entregado"))</f>
        <v/>
      </c>
      <c r="M58" s="24" t="str">
        <f ca="1">IF($R58="","",COUNTIFS(Tabla1[ID Cliente],J58,Tabla1[Tipo de Documento],'Tabla dinamica'!$T$3,Tabla1[Estado de entrega],"Pendiente"))</f>
        <v/>
      </c>
      <c r="N58" s="24" t="str">
        <f ca="1">IF($R58="","",COUNTIFS(Tabla1[ID Cliente],J58,Tabla1[Tipo de Documento],'Tabla dinamica'!$T$3,Tabla1[Estado_vigencia],"Vencido"))</f>
        <v/>
      </c>
      <c r="O58" s="24" t="str">
        <f ca="1">IF($R58="","",COUNTIFS(Tabla1[ID Cliente],J58,Tabla1[Tipo de Documento],'Tabla dinamica'!$T$3,Tabla1[Estado_vigencia],"Alerta"))</f>
        <v/>
      </c>
      <c r="P58" s="26" t="str">
        <f ca="1">IF(OR($R58="",N(K58)=0),"",COUNTIFS(Tabla1[ID Cliente],J58,Tabla1[Tipo de Documento],'Tabla dinamica'!$T$3,Tabla1[Estado de entrega],"Entregado",Tabla1[Estado_vigencia],"Vigente")/K58)</f>
        <v/>
      </c>
      <c r="R5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Row],[Estatus]]=#REF!))&gt;0)),ROWS(R$18:R58)),"")</f>
        <v/>
      </c>
    </row>
    <row r="59" spans="10:18" ht="24.95" customHeight="1">
      <c r="J59" s="24" t="str">
        <f ca="1">IF($R59="","",INDEX(TablaClientes[ID Cliente],$R59)&amp;"")</f>
        <v/>
      </c>
      <c r="K59" s="24" t="str">
        <f ca="1">IF($R59="","",COUNTIFS(Tabla1[ID Cliente],J59,Tabla1[Tipo de Documento],'Tabla dinamica'!$T$3))</f>
        <v/>
      </c>
      <c r="L59" s="24" t="str">
        <f ca="1">IF($R59="","",COUNTIFS(Tabla1[ID Cliente],J59,Tabla1[Tipo de Documento],'Tabla dinamica'!$T$3,Tabla1[Estado de entrega],"Entregado"))</f>
        <v/>
      </c>
      <c r="M59" s="24" t="str">
        <f ca="1">IF($R59="","",COUNTIFS(Tabla1[ID Cliente],J59,Tabla1[Tipo de Documento],'Tabla dinamica'!$T$3,Tabla1[Estado de entrega],"Pendiente"))</f>
        <v/>
      </c>
      <c r="N59" s="24" t="str">
        <f ca="1">IF($R59="","",COUNTIFS(Tabla1[ID Cliente],J59,Tabla1[Tipo de Documento],'Tabla dinamica'!$T$3,Tabla1[Estado_vigencia],"Vencido"))</f>
        <v/>
      </c>
      <c r="O59" s="24" t="str">
        <f ca="1">IF($R59="","",COUNTIFS(Tabla1[ID Cliente],J59,Tabla1[Tipo de Documento],'Tabla dinamica'!$T$3,Tabla1[Estado_vigencia],"Alerta"))</f>
        <v/>
      </c>
      <c r="P59" s="26" t="str">
        <f ca="1">IF(OR($R59="",N(K59)=0),"",COUNTIFS(Tabla1[ID Cliente],J59,Tabla1[Tipo de Documento],'Tabla dinamica'!$T$3,Tabla1[Estado de entrega],"Entregado",Tabla1[Estado_vigencia],"Vigente")/K59)</f>
        <v/>
      </c>
      <c r="R5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Row],[Estatus]]=#REF!))&gt;0)),ROWS(R$18:R59)),"")</f>
        <v/>
      </c>
    </row>
    <row r="60" spans="10:18" ht="24.95" customHeight="1">
      <c r="J60" s="24" t="str">
        <f ca="1">IF($R60="","",INDEX(TablaClientes[ID Cliente],$R60)&amp;"")</f>
        <v/>
      </c>
      <c r="K60" s="24" t="str">
        <f ca="1">IF($R60="","",COUNTIFS(Tabla1[ID Cliente],J60,Tabla1[Tipo de Documento],'Tabla dinamica'!$T$3))</f>
        <v/>
      </c>
      <c r="L60" s="24" t="str">
        <f ca="1">IF($R60="","",COUNTIFS(Tabla1[ID Cliente],J60,Tabla1[Tipo de Documento],'Tabla dinamica'!$T$3,Tabla1[Estado de entrega],"Entregado"))</f>
        <v/>
      </c>
      <c r="M60" s="24" t="str">
        <f ca="1">IF($R60="","",COUNTIFS(Tabla1[ID Cliente],J60,Tabla1[Tipo de Documento],'Tabla dinamica'!$T$3,Tabla1[Estado de entrega],"Pendiente"))</f>
        <v/>
      </c>
      <c r="N60" s="24" t="str">
        <f ca="1">IF($R60="","",COUNTIFS(Tabla1[ID Cliente],J60,Tabla1[Tipo de Documento],'Tabla dinamica'!$T$3,Tabla1[Estado_vigencia],"Vencido"))</f>
        <v/>
      </c>
      <c r="O60" s="24" t="str">
        <f ca="1">IF($R60="","",COUNTIFS(Tabla1[ID Cliente],J60,Tabla1[Tipo de Documento],'Tabla dinamica'!$T$3,Tabla1[Estado_vigencia],"Alerta"))</f>
        <v/>
      </c>
      <c r="P60" s="26" t="str">
        <f ca="1">IF(OR($R60="",N(K60)=0),"",COUNTIFS(Tabla1[ID Cliente],J60,Tabla1[Tipo de Documento],'Tabla dinamica'!$T$3,Tabla1[Estado de entrega],"Entregado",Tabla1[Estado_vigencia],"Vigente")/K60)</f>
        <v/>
      </c>
      <c r="R6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Row],[Estatus]]=#REF!))&gt;0)),ROWS(R$18:R60)),"")</f>
        <v/>
      </c>
    </row>
    <row r="61" spans="10:18" ht="24.95" customHeight="1">
      <c r="J61" s="24" t="str">
        <f ca="1">IF($R61="","",INDEX(TablaClientes[ID Cliente],$R61)&amp;"")</f>
        <v/>
      </c>
      <c r="K61" s="24" t="str">
        <f ca="1">IF($R61="","",COUNTIFS(Tabla1[ID Cliente],J61,Tabla1[Tipo de Documento],'Tabla dinamica'!$T$3))</f>
        <v/>
      </c>
      <c r="L61" s="24" t="str">
        <f ca="1">IF($R61="","",COUNTIFS(Tabla1[ID Cliente],J61,Tabla1[Tipo de Documento],'Tabla dinamica'!$T$3,Tabla1[Estado de entrega],"Entregado"))</f>
        <v/>
      </c>
      <c r="M61" s="24" t="str">
        <f ca="1">IF($R61="","",COUNTIFS(Tabla1[ID Cliente],J61,Tabla1[Tipo de Documento],'Tabla dinamica'!$T$3,Tabla1[Estado de entrega],"Pendiente"))</f>
        <v/>
      </c>
      <c r="N61" s="24" t="str">
        <f ca="1">IF($R61="","",COUNTIFS(Tabla1[ID Cliente],J61,Tabla1[Tipo de Documento],'Tabla dinamica'!$T$3,Tabla1[Estado_vigencia],"Vencido"))</f>
        <v/>
      </c>
      <c r="O61" s="24" t="str">
        <f ca="1">IF($R61="","",COUNTIFS(Tabla1[ID Cliente],J61,Tabla1[Tipo de Documento],'Tabla dinamica'!$T$3,Tabla1[Estado_vigencia],"Alerta"))</f>
        <v/>
      </c>
      <c r="P61" s="26" t="str">
        <f ca="1">IF(OR($R61="",N(K61)=0),"",COUNTIFS(Tabla1[ID Cliente],J61,Tabla1[Tipo de Documento],'Tabla dinamica'!$T$3,Tabla1[Estado de entrega],"Entregado",Tabla1[Estado_vigencia],"Vigente")/K61)</f>
        <v/>
      </c>
      <c r="R6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Row],[Estatus]]=#REF!))&gt;0)),ROWS(R$18:R61)),"")</f>
        <v/>
      </c>
    </row>
    <row r="62" spans="10:18" ht="24.95" customHeight="1">
      <c r="J62" s="24" t="str">
        <f ca="1">IF($R62="","",INDEX(TablaClientes[ID Cliente],$R62)&amp;"")</f>
        <v/>
      </c>
      <c r="K62" s="24" t="str">
        <f ca="1">IF($R62="","",COUNTIFS(Tabla1[ID Cliente],J62,Tabla1[Tipo de Documento],'Tabla dinamica'!$T$3))</f>
        <v/>
      </c>
      <c r="L62" s="24" t="str">
        <f ca="1">IF($R62="","",COUNTIFS(Tabla1[ID Cliente],J62,Tabla1[Tipo de Documento],'Tabla dinamica'!$T$3,Tabla1[Estado de entrega],"Entregado"))</f>
        <v/>
      </c>
      <c r="M62" s="24" t="str">
        <f ca="1">IF($R62="","",COUNTIFS(Tabla1[ID Cliente],J62,Tabla1[Tipo de Documento],'Tabla dinamica'!$T$3,Tabla1[Estado de entrega],"Pendiente"))</f>
        <v/>
      </c>
      <c r="N62" s="24" t="str">
        <f ca="1">IF($R62="","",COUNTIFS(Tabla1[ID Cliente],J62,Tabla1[Tipo de Documento],'Tabla dinamica'!$T$3,Tabla1[Estado_vigencia],"Vencido"))</f>
        <v/>
      </c>
      <c r="O62" s="24" t="str">
        <f ca="1">IF($R62="","",COUNTIFS(Tabla1[ID Cliente],J62,Tabla1[Tipo de Documento],'Tabla dinamica'!$T$3,Tabla1[Estado_vigencia],"Alerta"))</f>
        <v/>
      </c>
      <c r="P62" s="26" t="str">
        <f ca="1">IF(OR($R62="",N(K62)=0),"",COUNTIFS(Tabla1[ID Cliente],J62,Tabla1[Tipo de Documento],'Tabla dinamica'!$T$3,Tabla1[Estado de entrega],"Entregado",Tabla1[Estado_vigencia],"Vigente")/K62)</f>
        <v/>
      </c>
      <c r="R6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Row],[Estatus]]=#REF!))&gt;0)),ROWS(R$18:R62)),"")</f>
        <v/>
      </c>
    </row>
    <row r="63" spans="10:18" ht="24.95" customHeight="1">
      <c r="J63" s="24" t="str">
        <f ca="1">IF($R63="","",INDEX(TablaClientes[ID Cliente],$R63)&amp;"")</f>
        <v/>
      </c>
      <c r="K63" s="24" t="str">
        <f ca="1">IF($R63="","",COUNTIFS(Tabla1[ID Cliente],J63,Tabla1[Tipo de Documento],'Tabla dinamica'!$T$3))</f>
        <v/>
      </c>
      <c r="L63" s="24" t="str">
        <f ca="1">IF($R63="","",COUNTIFS(Tabla1[ID Cliente],J63,Tabla1[Tipo de Documento],'Tabla dinamica'!$T$3,Tabla1[Estado de entrega],"Entregado"))</f>
        <v/>
      </c>
      <c r="M63" s="24" t="str">
        <f ca="1">IF($R63="","",COUNTIFS(Tabla1[ID Cliente],J63,Tabla1[Tipo de Documento],'Tabla dinamica'!$T$3,Tabla1[Estado de entrega],"Pendiente"))</f>
        <v/>
      </c>
      <c r="N63" s="24" t="str">
        <f ca="1">IF($R63="","",COUNTIFS(Tabla1[ID Cliente],J63,Tabla1[Tipo de Documento],'Tabla dinamica'!$T$3,Tabla1[Estado_vigencia],"Vencido"))</f>
        <v/>
      </c>
      <c r="O63" s="24" t="str">
        <f ca="1">IF($R63="","",COUNTIFS(Tabla1[ID Cliente],J63,Tabla1[Tipo de Documento],'Tabla dinamica'!$T$3,Tabla1[Estado_vigencia],"Alerta"))</f>
        <v/>
      </c>
      <c r="P63" s="26" t="str">
        <f ca="1">IF(OR($R63="",N(K63)=0),"",COUNTIFS(Tabla1[ID Cliente],J63,Tabla1[Tipo de Documento],'Tabla dinamica'!$T$3,Tabla1[Estado de entrega],"Entregado",Tabla1[Estado_vigencia],"Vigente")/K63)</f>
        <v/>
      </c>
      <c r="R6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Row],[Estatus]]=#REF!))&gt;0)),ROWS(R$18:R63)),"")</f>
        <v/>
      </c>
    </row>
    <row r="64" spans="10:18" ht="24.95" customHeight="1">
      <c r="J64" s="24" t="str">
        <f ca="1">IF($R64="","",INDEX(TablaClientes[ID Cliente],$R64)&amp;"")</f>
        <v/>
      </c>
      <c r="K64" s="24" t="str">
        <f ca="1">IF($R64="","",COUNTIFS(Tabla1[ID Cliente],J64,Tabla1[Tipo de Documento],'Tabla dinamica'!$T$3))</f>
        <v/>
      </c>
      <c r="L64" s="24" t="str">
        <f ca="1">IF($R64="","",COUNTIFS(Tabla1[ID Cliente],J64,Tabla1[Tipo de Documento],'Tabla dinamica'!$T$3,Tabla1[Estado de entrega],"Entregado"))</f>
        <v/>
      </c>
      <c r="M64" s="24" t="str">
        <f ca="1">IF($R64="","",COUNTIFS(Tabla1[ID Cliente],J64,Tabla1[Tipo de Documento],'Tabla dinamica'!$T$3,Tabla1[Estado de entrega],"Pendiente"))</f>
        <v/>
      </c>
      <c r="N64" s="24" t="str">
        <f ca="1">IF($R64="","",COUNTIFS(Tabla1[ID Cliente],J64,Tabla1[Tipo de Documento],'Tabla dinamica'!$T$3,Tabla1[Estado_vigencia],"Vencido"))</f>
        <v/>
      </c>
      <c r="O64" s="24" t="str">
        <f ca="1">IF($R64="","",COUNTIFS(Tabla1[ID Cliente],J64,Tabla1[Tipo de Documento],'Tabla dinamica'!$T$3,Tabla1[Estado_vigencia],"Alerta"))</f>
        <v/>
      </c>
      <c r="P64" s="26" t="str">
        <f ca="1">IF(OR($R64="",N(K64)=0),"",COUNTIFS(Tabla1[ID Cliente],J64,Tabla1[Tipo de Documento],'Tabla dinamica'!$T$3,Tabla1[Estado de entrega],"Entregado",Tabla1[Estado_vigencia],"Vigente")/K64)</f>
        <v/>
      </c>
      <c r="R6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Row],[Estatus]]=#REF!))&gt;0)),ROWS(R$18:R64)),"")</f>
        <v/>
      </c>
    </row>
    <row r="65" spans="10:18" ht="24.95" customHeight="1">
      <c r="J65" s="24" t="str">
        <f ca="1">IF($R65="","",INDEX(TablaClientes[ID Cliente],$R65)&amp;"")</f>
        <v/>
      </c>
      <c r="K65" s="24" t="str">
        <f ca="1">IF($R65="","",COUNTIFS(Tabla1[ID Cliente],J65,Tabla1[Tipo de Documento],'Tabla dinamica'!$T$3))</f>
        <v/>
      </c>
      <c r="L65" s="24" t="str">
        <f ca="1">IF($R65="","",COUNTIFS(Tabla1[ID Cliente],J65,Tabla1[Tipo de Documento],'Tabla dinamica'!$T$3,Tabla1[Estado de entrega],"Entregado"))</f>
        <v/>
      </c>
      <c r="M65" s="24" t="str">
        <f ca="1">IF($R65="","",COUNTIFS(Tabla1[ID Cliente],J65,Tabla1[Tipo de Documento],'Tabla dinamica'!$T$3,Tabla1[Estado de entrega],"Pendiente"))</f>
        <v/>
      </c>
      <c r="N65" s="24" t="str">
        <f ca="1">IF($R65="","",COUNTIFS(Tabla1[ID Cliente],J65,Tabla1[Tipo de Documento],'Tabla dinamica'!$T$3,Tabla1[Estado_vigencia],"Vencido"))</f>
        <v/>
      </c>
      <c r="O65" s="24" t="str">
        <f ca="1">IF($R65="","",COUNTIFS(Tabla1[ID Cliente],J65,Tabla1[Tipo de Documento],'Tabla dinamica'!$T$3,Tabla1[Estado_vigencia],"Alerta"))</f>
        <v/>
      </c>
      <c r="P65" s="26" t="str">
        <f ca="1">IF(OR($R65="",N(K65)=0),"",COUNTIFS(Tabla1[ID Cliente],J65,Tabla1[Tipo de Documento],'Tabla dinamica'!$T$3,Tabla1[Estado de entrega],"Entregado",Tabla1[Estado_vigencia],"Vigente")/K65)</f>
        <v/>
      </c>
      <c r="R6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Row],[Estatus]]=#REF!))&gt;0)),ROWS(R$18:R65)),"")</f>
        <v/>
      </c>
    </row>
    <row r="66" spans="10:18" ht="24.95" customHeight="1">
      <c r="J66" s="24" t="str">
        <f ca="1">IF($R66="","",INDEX(TablaClientes[ID Cliente],$R66)&amp;"")</f>
        <v/>
      </c>
      <c r="K66" s="24" t="str">
        <f ca="1">IF($R66="","",COUNTIFS(Tabla1[ID Cliente],J66,Tabla1[Tipo de Documento],'Tabla dinamica'!$T$3))</f>
        <v/>
      </c>
      <c r="L66" s="24" t="str">
        <f ca="1">IF($R66="","",COUNTIFS(Tabla1[ID Cliente],J66,Tabla1[Tipo de Documento],'Tabla dinamica'!$T$3,Tabla1[Estado de entrega],"Entregado"))</f>
        <v/>
      </c>
      <c r="M66" s="24" t="str">
        <f ca="1">IF($R66="","",COUNTIFS(Tabla1[ID Cliente],J66,Tabla1[Tipo de Documento],'Tabla dinamica'!$T$3,Tabla1[Estado de entrega],"Pendiente"))</f>
        <v/>
      </c>
      <c r="N66" s="24" t="str">
        <f ca="1">IF($R66="","",COUNTIFS(Tabla1[ID Cliente],J66,Tabla1[Tipo de Documento],'Tabla dinamica'!$T$3,Tabla1[Estado_vigencia],"Vencido"))</f>
        <v/>
      </c>
      <c r="O66" s="24" t="str">
        <f ca="1">IF($R66="","",COUNTIFS(Tabla1[ID Cliente],J66,Tabla1[Tipo de Documento],'Tabla dinamica'!$T$3,Tabla1[Estado_vigencia],"Alerta"))</f>
        <v/>
      </c>
      <c r="P66" s="26" t="str">
        <f ca="1">IF(OR($R66="",N(K66)=0),"",COUNTIFS(Tabla1[ID Cliente],J66,Tabla1[Tipo de Documento],'Tabla dinamica'!$T$3,Tabla1[Estado de entrega],"Entregado",Tabla1[Estado_vigencia],"Vigente")/K66)</f>
        <v/>
      </c>
      <c r="R6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Row],[Estatus]]=#REF!))&gt;0)),ROWS(R$18:R66)),"")</f>
        <v/>
      </c>
    </row>
    <row r="67" spans="10:18" ht="24.95" customHeight="1">
      <c r="J67" s="24" t="str">
        <f ca="1">IF($R67="","",INDEX(TablaClientes[ID Cliente],$R67)&amp;"")</f>
        <v/>
      </c>
      <c r="K67" s="24" t="str">
        <f ca="1">IF($R67="","",COUNTIFS(Tabla1[ID Cliente],J67,Tabla1[Tipo de Documento],'Tabla dinamica'!$T$3))</f>
        <v/>
      </c>
      <c r="L67" s="24" t="str">
        <f ca="1">IF($R67="","",COUNTIFS(Tabla1[ID Cliente],J67,Tabla1[Tipo de Documento],'Tabla dinamica'!$T$3,Tabla1[Estado de entrega],"Entregado"))</f>
        <v/>
      </c>
      <c r="M67" s="24" t="str">
        <f ca="1">IF($R67="","",COUNTIFS(Tabla1[ID Cliente],J67,Tabla1[Tipo de Documento],'Tabla dinamica'!$T$3,Tabla1[Estado de entrega],"Pendiente"))</f>
        <v/>
      </c>
      <c r="N67" s="24" t="str">
        <f ca="1">IF($R67="","",COUNTIFS(Tabla1[ID Cliente],J67,Tabla1[Tipo de Documento],'Tabla dinamica'!$T$3,Tabla1[Estado_vigencia],"Vencido"))</f>
        <v/>
      </c>
      <c r="O67" s="24" t="str">
        <f ca="1">IF($R67="","",COUNTIFS(Tabla1[ID Cliente],J67,Tabla1[Tipo de Documento],'Tabla dinamica'!$T$3,Tabla1[Estado_vigencia],"Alerta"))</f>
        <v/>
      </c>
      <c r="P67" s="26" t="str">
        <f ca="1">IF(OR($R67="",N(K67)=0),"",COUNTIFS(Tabla1[ID Cliente],J67,Tabla1[Tipo de Documento],'Tabla dinamica'!$T$3,Tabla1[Estado de entrega],"Entregado",Tabla1[Estado_vigencia],"Vigente")/K67)</f>
        <v/>
      </c>
      <c r="R6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Row],[Estatus]]=#REF!))&gt;0)),ROWS(R$18:R67)),"")</f>
        <v/>
      </c>
    </row>
    <row r="68" spans="10:18" ht="24.95" customHeight="1">
      <c r="J68" s="24" t="str">
        <f ca="1">IF($R68="","",INDEX(TablaClientes[ID Cliente],$R68)&amp;"")</f>
        <v/>
      </c>
      <c r="K68" s="24" t="str">
        <f ca="1">IF($R68="","",COUNTIFS(Tabla1[ID Cliente],J68,Tabla1[Tipo de Documento],'Tabla dinamica'!$T$3))</f>
        <v/>
      </c>
      <c r="L68" s="24" t="str">
        <f ca="1">IF($R68="","",COUNTIFS(Tabla1[ID Cliente],J68,Tabla1[Tipo de Documento],'Tabla dinamica'!$T$3,Tabla1[Estado de entrega],"Entregado"))</f>
        <v/>
      </c>
      <c r="M68" s="24" t="str">
        <f ca="1">IF($R68="","",COUNTIFS(Tabla1[ID Cliente],J68,Tabla1[Tipo de Documento],'Tabla dinamica'!$T$3,Tabla1[Estado de entrega],"Pendiente"))</f>
        <v/>
      </c>
      <c r="N68" s="24" t="str">
        <f ca="1">IF($R68="","",COUNTIFS(Tabla1[ID Cliente],J68,Tabla1[Tipo de Documento],'Tabla dinamica'!$T$3,Tabla1[Estado_vigencia],"Vencido"))</f>
        <v/>
      </c>
      <c r="O68" s="24" t="str">
        <f ca="1">IF($R68="","",COUNTIFS(Tabla1[ID Cliente],J68,Tabla1[Tipo de Documento],'Tabla dinamica'!$T$3,Tabla1[Estado_vigencia],"Alerta"))</f>
        <v/>
      </c>
      <c r="P68" s="26" t="str">
        <f ca="1">IF(OR($R68="",N(K68)=0),"",COUNTIFS(Tabla1[ID Cliente],J68,Tabla1[Tipo de Documento],'Tabla dinamica'!$T$3,Tabla1[Estado de entrega],"Entregado",Tabla1[Estado_vigencia],"Vigente")/K68)</f>
        <v/>
      </c>
      <c r="R6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Row],[Estatus]]=#REF!))&gt;0)),ROWS(R$18:R68)),"")</f>
        <v/>
      </c>
    </row>
    <row r="69" spans="10:18" ht="24.95" customHeight="1">
      <c r="J69" s="24" t="str">
        <f ca="1">IF($R69="","",INDEX(TablaClientes[ID Cliente],$R69)&amp;"")</f>
        <v/>
      </c>
      <c r="K69" s="24" t="str">
        <f ca="1">IF($R69="","",COUNTIFS(Tabla1[ID Cliente],J69,Tabla1[Tipo de Documento],'Tabla dinamica'!$T$3))</f>
        <v/>
      </c>
      <c r="L69" s="24" t="str">
        <f ca="1">IF($R69="","",COUNTIFS(Tabla1[ID Cliente],J69,Tabla1[Tipo de Documento],'Tabla dinamica'!$T$3,Tabla1[Estado de entrega],"Entregado"))</f>
        <v/>
      </c>
      <c r="M69" s="24" t="str">
        <f ca="1">IF($R69="","",COUNTIFS(Tabla1[ID Cliente],J69,Tabla1[Tipo de Documento],'Tabla dinamica'!$T$3,Tabla1[Estado de entrega],"Pendiente"))</f>
        <v/>
      </c>
      <c r="N69" s="24" t="str">
        <f ca="1">IF($R69="","",COUNTIFS(Tabla1[ID Cliente],J69,Tabla1[Tipo de Documento],'Tabla dinamica'!$T$3,Tabla1[Estado_vigencia],"Vencido"))</f>
        <v/>
      </c>
      <c r="O69" s="24" t="str">
        <f ca="1">IF($R69="","",COUNTIFS(Tabla1[ID Cliente],J69,Tabla1[Tipo de Documento],'Tabla dinamica'!$T$3,Tabla1[Estado_vigencia],"Alerta"))</f>
        <v/>
      </c>
      <c r="P69" s="26" t="str">
        <f ca="1">IF(OR($R69="",N(K69)=0),"",COUNTIFS(Tabla1[ID Cliente],J69,Tabla1[Tipo de Documento],'Tabla dinamica'!$T$3,Tabla1[Estado de entrega],"Entregado",Tabla1[Estado_vigencia],"Vigente")/K69)</f>
        <v/>
      </c>
      <c r="R6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Row],[Estatus]]=#REF!))&gt;0)),ROWS(R$18:R69)),"")</f>
        <v/>
      </c>
    </row>
    <row r="70" spans="10:18" ht="24.95" customHeight="1">
      <c r="J70" s="24" t="str">
        <f ca="1">IF($R70="","",INDEX(TablaClientes[ID Cliente],$R70)&amp;"")</f>
        <v/>
      </c>
      <c r="K70" s="24" t="str">
        <f ca="1">IF($R70="","",COUNTIFS(Tabla1[ID Cliente],J70,Tabla1[Tipo de Documento],'Tabla dinamica'!$T$3))</f>
        <v/>
      </c>
      <c r="L70" s="24" t="str">
        <f ca="1">IF($R70="","",COUNTIFS(Tabla1[ID Cliente],J70,Tabla1[Tipo de Documento],'Tabla dinamica'!$T$3,Tabla1[Estado de entrega],"Entregado"))</f>
        <v/>
      </c>
      <c r="M70" s="24" t="str">
        <f ca="1">IF($R70="","",COUNTIFS(Tabla1[ID Cliente],J70,Tabla1[Tipo de Documento],'Tabla dinamica'!$T$3,Tabla1[Estado de entrega],"Pendiente"))</f>
        <v/>
      </c>
      <c r="N70" s="24" t="str">
        <f ca="1">IF($R70="","",COUNTIFS(Tabla1[ID Cliente],J70,Tabla1[Tipo de Documento],'Tabla dinamica'!$T$3,Tabla1[Estado_vigencia],"Vencido"))</f>
        <v/>
      </c>
      <c r="O70" s="24" t="str">
        <f ca="1">IF($R70="","",COUNTIFS(Tabla1[ID Cliente],J70,Tabla1[Tipo de Documento],'Tabla dinamica'!$T$3,Tabla1[Estado_vigencia],"Alerta"))</f>
        <v/>
      </c>
      <c r="P70" s="26" t="str">
        <f ca="1">IF(OR($R70="",N(K70)=0),"",COUNTIFS(Tabla1[ID Cliente],J70,Tabla1[Tipo de Documento],'Tabla dinamica'!$T$3,Tabla1[Estado de entrega],"Entregado",Tabla1[Estado_vigencia],"Vigente")/K70)</f>
        <v/>
      </c>
      <c r="R7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Row],[Estatus]]=#REF!))&gt;0)),ROWS(R$18:R70)),"")</f>
        <v/>
      </c>
    </row>
    <row r="71" spans="10:18" ht="24.95" customHeight="1">
      <c r="J71" s="24" t="str">
        <f ca="1">IF($R71="","",INDEX(TablaClientes[ID Cliente],$R71)&amp;"")</f>
        <v/>
      </c>
      <c r="K71" s="24" t="str">
        <f ca="1">IF($R71="","",COUNTIFS(Tabla1[ID Cliente],J71,Tabla1[Tipo de Documento],'Tabla dinamica'!$T$3))</f>
        <v/>
      </c>
      <c r="L71" s="24" t="str">
        <f ca="1">IF($R71="","",COUNTIFS(Tabla1[ID Cliente],J71,Tabla1[Tipo de Documento],'Tabla dinamica'!$T$3,Tabla1[Estado de entrega],"Entregado"))</f>
        <v/>
      </c>
      <c r="M71" s="24" t="str">
        <f ca="1">IF($R71="","",COUNTIFS(Tabla1[ID Cliente],J71,Tabla1[Tipo de Documento],'Tabla dinamica'!$T$3,Tabla1[Estado de entrega],"Pendiente"))</f>
        <v/>
      </c>
      <c r="N71" s="24" t="str">
        <f ca="1">IF($R71="","",COUNTIFS(Tabla1[ID Cliente],J71,Tabla1[Tipo de Documento],'Tabla dinamica'!$T$3,Tabla1[Estado_vigencia],"Vencido"))</f>
        <v/>
      </c>
      <c r="O71" s="24" t="str">
        <f ca="1">IF($R71="","",COUNTIFS(Tabla1[ID Cliente],J71,Tabla1[Tipo de Documento],'Tabla dinamica'!$T$3,Tabla1[Estado_vigencia],"Alerta"))</f>
        <v/>
      </c>
      <c r="P71" s="26" t="str">
        <f ca="1">IF(OR($R71="",N(K71)=0),"",COUNTIFS(Tabla1[ID Cliente],J71,Tabla1[Tipo de Documento],'Tabla dinamica'!$T$3,Tabla1[Estado de entrega],"Entregado",Tabla1[Estado_vigencia],"Vigente")/K71)</f>
        <v/>
      </c>
      <c r="R7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Row],[Estatus]]=#REF!))&gt;0)),ROWS(R$18:R71)),"")</f>
        <v/>
      </c>
    </row>
    <row r="72" spans="10:18" ht="24.95" customHeight="1">
      <c r="J72" s="24" t="str">
        <f ca="1">IF($R72="","",INDEX(TablaClientes[ID Cliente],$R72)&amp;"")</f>
        <v/>
      </c>
      <c r="K72" s="24" t="str">
        <f ca="1">IF($R72="","",COUNTIFS(Tabla1[ID Cliente],J72,Tabla1[Tipo de Documento],'Tabla dinamica'!$T$3))</f>
        <v/>
      </c>
      <c r="L72" s="24" t="str">
        <f ca="1">IF($R72="","",COUNTIFS(Tabla1[ID Cliente],J72,Tabla1[Tipo de Documento],'Tabla dinamica'!$T$3,Tabla1[Estado de entrega],"Entregado"))</f>
        <v/>
      </c>
      <c r="M72" s="24" t="str">
        <f ca="1">IF($R72="","",COUNTIFS(Tabla1[ID Cliente],J72,Tabla1[Tipo de Documento],'Tabla dinamica'!$T$3,Tabla1[Estado de entrega],"Pendiente"))</f>
        <v/>
      </c>
      <c r="N72" s="24" t="str">
        <f ca="1">IF($R72="","",COUNTIFS(Tabla1[ID Cliente],J72,Tabla1[Tipo de Documento],'Tabla dinamica'!$T$3,Tabla1[Estado_vigencia],"Vencido"))</f>
        <v/>
      </c>
      <c r="O72" s="24" t="str">
        <f ca="1">IF($R72="","",COUNTIFS(Tabla1[ID Cliente],J72,Tabla1[Tipo de Documento],'Tabla dinamica'!$T$3,Tabla1[Estado_vigencia],"Alerta"))</f>
        <v/>
      </c>
      <c r="P72" s="26" t="str">
        <f ca="1">IF(OR($R72="",N(K72)=0),"",COUNTIFS(Tabla1[ID Cliente],J72,Tabla1[Tipo de Documento],'Tabla dinamica'!$T$3,Tabla1[Estado de entrega],"Entregado",Tabla1[Estado_vigencia],"Vigente")/K72)</f>
        <v/>
      </c>
      <c r="R7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Row],[Estatus]]=#REF!))&gt;0)),ROWS(R$18:R72)),"")</f>
        <v/>
      </c>
    </row>
    <row r="73" spans="10:18" ht="24.95" customHeight="1">
      <c r="J73" s="24" t="str">
        <f ca="1">IF($R73="","",INDEX(TablaClientes[ID Cliente],$R73)&amp;"")</f>
        <v/>
      </c>
      <c r="K73" s="24" t="str">
        <f ca="1">IF($R73="","",COUNTIFS(Tabla1[ID Cliente],J73,Tabla1[Tipo de Documento],'Tabla dinamica'!$T$3))</f>
        <v/>
      </c>
      <c r="L73" s="24" t="str">
        <f ca="1">IF($R73="","",COUNTIFS(Tabla1[ID Cliente],J73,Tabla1[Tipo de Documento],'Tabla dinamica'!$T$3,Tabla1[Estado de entrega],"Entregado"))</f>
        <v/>
      </c>
      <c r="M73" s="24" t="str">
        <f ca="1">IF($R73="","",COUNTIFS(Tabla1[ID Cliente],J73,Tabla1[Tipo de Documento],'Tabla dinamica'!$T$3,Tabla1[Estado de entrega],"Pendiente"))</f>
        <v/>
      </c>
      <c r="N73" s="24" t="str">
        <f ca="1">IF($R73="","",COUNTIFS(Tabla1[ID Cliente],J73,Tabla1[Tipo de Documento],'Tabla dinamica'!$T$3,Tabla1[Estado_vigencia],"Vencido"))</f>
        <v/>
      </c>
      <c r="O73" s="24" t="str">
        <f ca="1">IF($R73="","",COUNTIFS(Tabla1[ID Cliente],J73,Tabla1[Tipo de Documento],'Tabla dinamica'!$T$3,Tabla1[Estado_vigencia],"Alerta"))</f>
        <v/>
      </c>
      <c r="P73" s="26" t="str">
        <f ca="1">IF(OR($R73="",N(K73)=0),"",COUNTIFS(Tabla1[ID Cliente],J73,Tabla1[Tipo de Documento],'Tabla dinamica'!$T$3,Tabla1[Estado de entrega],"Entregado",Tabla1[Estado_vigencia],"Vigente")/K73)</f>
        <v/>
      </c>
      <c r="R7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Row],[Estatus]]=#REF!))&gt;0)),ROWS(R$18:R73)),"")</f>
        <v/>
      </c>
    </row>
    <row r="74" spans="10:18" ht="24.95" customHeight="1">
      <c r="J74" s="24" t="str">
        <f ca="1">IF($R74="","",INDEX(TablaClientes[ID Cliente],$R74)&amp;"")</f>
        <v/>
      </c>
      <c r="K74" s="24" t="str">
        <f ca="1">IF($R74="","",COUNTIFS(Tabla1[ID Cliente],J74,Tabla1[Tipo de Documento],'Tabla dinamica'!$T$3))</f>
        <v/>
      </c>
      <c r="L74" s="24" t="str">
        <f ca="1">IF($R74="","",COUNTIFS(Tabla1[ID Cliente],J74,Tabla1[Tipo de Documento],'Tabla dinamica'!$T$3,Tabla1[Estado de entrega],"Entregado"))</f>
        <v/>
      </c>
      <c r="M74" s="24" t="str">
        <f ca="1">IF($R74="","",COUNTIFS(Tabla1[ID Cliente],J74,Tabla1[Tipo de Documento],'Tabla dinamica'!$T$3,Tabla1[Estado de entrega],"Pendiente"))</f>
        <v/>
      </c>
      <c r="N74" s="24" t="str">
        <f ca="1">IF($R74="","",COUNTIFS(Tabla1[ID Cliente],J74,Tabla1[Tipo de Documento],'Tabla dinamica'!$T$3,Tabla1[Estado_vigencia],"Vencido"))</f>
        <v/>
      </c>
      <c r="O74" s="24" t="str">
        <f ca="1">IF($R74="","",COUNTIFS(Tabla1[ID Cliente],J74,Tabla1[Tipo de Documento],'Tabla dinamica'!$T$3,Tabla1[Estado_vigencia],"Alerta"))</f>
        <v/>
      </c>
      <c r="P74" s="26" t="str">
        <f ca="1">IF(OR($R74="",N(K74)=0),"",COUNTIFS(Tabla1[ID Cliente],J74,Tabla1[Tipo de Documento],'Tabla dinamica'!$T$3,Tabla1[Estado de entrega],"Entregado",Tabla1[Estado_vigencia],"Vigente")/K74)</f>
        <v/>
      </c>
      <c r="R7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Row],[Estatus]]=#REF!))&gt;0)),ROWS(R$18:R74)),"")</f>
        <v/>
      </c>
    </row>
    <row r="75" spans="10:18" ht="24.95" customHeight="1">
      <c r="J75" s="24" t="str">
        <f ca="1">IF($R75="","",INDEX(TablaClientes[ID Cliente],$R75)&amp;"")</f>
        <v/>
      </c>
      <c r="K75" s="24" t="str">
        <f ca="1">IF($R75="","",COUNTIFS(Tabla1[ID Cliente],J75,Tabla1[Tipo de Documento],'Tabla dinamica'!$T$3))</f>
        <v/>
      </c>
      <c r="L75" s="24" t="str">
        <f ca="1">IF($R75="","",COUNTIFS(Tabla1[ID Cliente],J75,Tabla1[Tipo de Documento],'Tabla dinamica'!$T$3,Tabla1[Estado de entrega],"Entregado"))</f>
        <v/>
      </c>
      <c r="M75" s="24" t="str">
        <f ca="1">IF($R75="","",COUNTIFS(Tabla1[ID Cliente],J75,Tabla1[Tipo de Documento],'Tabla dinamica'!$T$3,Tabla1[Estado de entrega],"Pendiente"))</f>
        <v/>
      </c>
      <c r="N75" s="24" t="str">
        <f ca="1">IF($R75="","",COUNTIFS(Tabla1[ID Cliente],J75,Tabla1[Tipo de Documento],'Tabla dinamica'!$T$3,Tabla1[Estado_vigencia],"Vencido"))</f>
        <v/>
      </c>
      <c r="O75" s="24" t="str">
        <f ca="1">IF($R75="","",COUNTIFS(Tabla1[ID Cliente],J75,Tabla1[Tipo de Documento],'Tabla dinamica'!$T$3,Tabla1[Estado_vigencia],"Alerta"))</f>
        <v/>
      </c>
      <c r="P75" s="26" t="str">
        <f ca="1">IF(OR($R75="",N(K75)=0),"",COUNTIFS(Tabla1[ID Cliente],J75,Tabla1[Tipo de Documento],'Tabla dinamica'!$T$3,Tabla1[Estado de entrega],"Entregado",Tabla1[Estado_vigencia],"Vigente")/K75)</f>
        <v/>
      </c>
      <c r="R7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Row],[Estatus]]=#REF!))&gt;0)),ROWS(R$18:R75)),"")</f>
        <v/>
      </c>
    </row>
    <row r="76" spans="10:18" ht="24.95" customHeight="1">
      <c r="J76" s="24" t="str">
        <f ca="1">IF($R76="","",INDEX(TablaClientes[ID Cliente],$R76)&amp;"")</f>
        <v/>
      </c>
      <c r="K76" s="24" t="str">
        <f ca="1">IF($R76="","",COUNTIFS(Tabla1[ID Cliente],J76,Tabla1[Tipo de Documento],'Tabla dinamica'!$T$3))</f>
        <v/>
      </c>
      <c r="L76" s="24" t="str">
        <f ca="1">IF($R76="","",COUNTIFS(Tabla1[ID Cliente],J76,Tabla1[Tipo de Documento],'Tabla dinamica'!$T$3,Tabla1[Estado de entrega],"Entregado"))</f>
        <v/>
      </c>
      <c r="M76" s="24" t="str">
        <f ca="1">IF($R76="","",COUNTIFS(Tabla1[ID Cliente],J76,Tabla1[Tipo de Documento],'Tabla dinamica'!$T$3,Tabla1[Estado de entrega],"Pendiente"))</f>
        <v/>
      </c>
      <c r="N76" s="24" t="str">
        <f ca="1">IF($R76="","",COUNTIFS(Tabla1[ID Cliente],J76,Tabla1[Tipo de Documento],'Tabla dinamica'!$T$3,Tabla1[Estado_vigencia],"Vencido"))</f>
        <v/>
      </c>
      <c r="O76" s="24" t="str">
        <f ca="1">IF($R76="","",COUNTIFS(Tabla1[ID Cliente],J76,Tabla1[Tipo de Documento],'Tabla dinamica'!$T$3,Tabla1[Estado_vigencia],"Alerta"))</f>
        <v/>
      </c>
      <c r="P76" s="26" t="str">
        <f ca="1">IF(OR($R76="",N(K76)=0),"",COUNTIFS(Tabla1[ID Cliente],J76,Tabla1[Tipo de Documento],'Tabla dinamica'!$T$3,Tabla1[Estado de entrega],"Entregado",Tabla1[Estado_vigencia],"Vigente")/K76)</f>
        <v/>
      </c>
      <c r="R7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Row],[Estatus]]=#REF!))&gt;0)),ROWS(R$18:R76)),"")</f>
        <v/>
      </c>
    </row>
    <row r="77" spans="10:18" ht="24.95" customHeight="1">
      <c r="J77" s="24" t="str">
        <f ca="1">IF($R77="","",INDEX(TablaClientes[ID Cliente],$R77)&amp;"")</f>
        <v/>
      </c>
      <c r="K77" s="24" t="str">
        <f ca="1">IF($R77="","",COUNTIFS(Tabla1[ID Cliente],J77,Tabla1[Tipo de Documento],'Tabla dinamica'!$T$3))</f>
        <v/>
      </c>
      <c r="L77" s="24" t="str">
        <f ca="1">IF($R77="","",COUNTIFS(Tabla1[ID Cliente],J77,Tabla1[Tipo de Documento],'Tabla dinamica'!$T$3,Tabla1[Estado de entrega],"Entregado"))</f>
        <v/>
      </c>
      <c r="M77" s="24" t="str">
        <f ca="1">IF($R77="","",COUNTIFS(Tabla1[ID Cliente],J77,Tabla1[Tipo de Documento],'Tabla dinamica'!$T$3,Tabla1[Estado de entrega],"Pendiente"))</f>
        <v/>
      </c>
      <c r="N77" s="24" t="str">
        <f ca="1">IF($R77="","",COUNTIFS(Tabla1[ID Cliente],J77,Tabla1[Tipo de Documento],'Tabla dinamica'!$T$3,Tabla1[Estado_vigencia],"Vencido"))</f>
        <v/>
      </c>
      <c r="O77" s="24" t="str">
        <f ca="1">IF($R77="","",COUNTIFS(Tabla1[ID Cliente],J77,Tabla1[Tipo de Documento],'Tabla dinamica'!$T$3,Tabla1[Estado_vigencia],"Alerta"))</f>
        <v/>
      </c>
      <c r="P77" s="26" t="str">
        <f ca="1">IF(OR($R77="",N(K77)=0),"",COUNTIFS(Tabla1[ID Cliente],J77,Tabla1[Tipo de Documento],'Tabla dinamica'!$T$3,Tabla1[Estado de entrega],"Entregado",Tabla1[Estado_vigencia],"Vigente")/K77)</f>
        <v/>
      </c>
      <c r="R7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Row],[Estatus]]=#REF!))&gt;0)),ROWS(R$18:R77)),"")</f>
        <v/>
      </c>
    </row>
    <row r="78" spans="10:18" ht="24.95" customHeight="1">
      <c r="J78" s="24" t="str">
        <f ca="1">IF($R78="","",INDEX(TablaClientes[ID Cliente],$R78)&amp;"")</f>
        <v/>
      </c>
      <c r="K78" s="24" t="str">
        <f ca="1">IF($R78="","",COUNTIFS(Tabla1[ID Cliente],J78,Tabla1[Tipo de Documento],'Tabla dinamica'!$T$3))</f>
        <v/>
      </c>
      <c r="L78" s="24" t="str">
        <f ca="1">IF($R78="","",COUNTIFS(Tabla1[ID Cliente],J78,Tabla1[Tipo de Documento],'Tabla dinamica'!$T$3,Tabla1[Estado de entrega],"Entregado"))</f>
        <v/>
      </c>
      <c r="M78" s="24" t="str">
        <f ca="1">IF($R78="","",COUNTIFS(Tabla1[ID Cliente],J78,Tabla1[Tipo de Documento],'Tabla dinamica'!$T$3,Tabla1[Estado de entrega],"Pendiente"))</f>
        <v/>
      </c>
      <c r="N78" s="24" t="str">
        <f ca="1">IF($R78="","",COUNTIFS(Tabla1[ID Cliente],J78,Tabla1[Tipo de Documento],'Tabla dinamica'!$T$3,Tabla1[Estado_vigencia],"Vencido"))</f>
        <v/>
      </c>
      <c r="O78" s="24" t="str">
        <f ca="1">IF($R78="","",COUNTIFS(Tabla1[ID Cliente],J78,Tabla1[Tipo de Documento],'Tabla dinamica'!$T$3,Tabla1[Estado_vigencia],"Alerta"))</f>
        <v/>
      </c>
      <c r="P78" s="26" t="str">
        <f ca="1">IF(OR($R78="",N(K78)=0),"",COUNTIFS(Tabla1[ID Cliente],J78,Tabla1[Tipo de Documento],'Tabla dinamica'!$T$3,Tabla1[Estado de entrega],"Entregado",Tabla1[Estado_vigencia],"Vigente")/K78)</f>
        <v/>
      </c>
      <c r="R7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Row],[Estatus]]=#REF!))&gt;0)),ROWS(R$18:R78)),"")</f>
        <v/>
      </c>
    </row>
    <row r="79" spans="10:18" ht="24.95" customHeight="1">
      <c r="J79" s="24" t="str">
        <f ca="1">IF($R79="","",INDEX(TablaClientes[ID Cliente],$R79)&amp;"")</f>
        <v/>
      </c>
      <c r="K79" s="24" t="str">
        <f ca="1">IF($R79="","",COUNTIFS(Tabla1[ID Cliente],J79,Tabla1[Tipo de Documento],'Tabla dinamica'!$T$3))</f>
        <v/>
      </c>
      <c r="L79" s="24" t="str">
        <f ca="1">IF($R79="","",COUNTIFS(Tabla1[ID Cliente],J79,Tabla1[Tipo de Documento],'Tabla dinamica'!$T$3,Tabla1[Estado de entrega],"Entregado"))</f>
        <v/>
      </c>
      <c r="M79" s="24" t="str">
        <f ca="1">IF($R79="","",COUNTIFS(Tabla1[ID Cliente],J79,Tabla1[Tipo de Documento],'Tabla dinamica'!$T$3,Tabla1[Estado de entrega],"Pendiente"))</f>
        <v/>
      </c>
      <c r="N79" s="24" t="str">
        <f ca="1">IF($R79="","",COUNTIFS(Tabla1[ID Cliente],J79,Tabla1[Tipo de Documento],'Tabla dinamica'!$T$3,Tabla1[Estado_vigencia],"Vencido"))</f>
        <v/>
      </c>
      <c r="O79" s="24" t="str">
        <f ca="1">IF($R79="","",COUNTIFS(Tabla1[ID Cliente],J79,Tabla1[Tipo de Documento],'Tabla dinamica'!$T$3,Tabla1[Estado_vigencia],"Alerta"))</f>
        <v/>
      </c>
      <c r="P79" s="26" t="str">
        <f ca="1">IF(OR($R79="",N(K79)=0),"",COUNTIFS(Tabla1[ID Cliente],J79,Tabla1[Tipo de Documento],'Tabla dinamica'!$T$3,Tabla1[Estado de entrega],"Entregado",Tabla1[Estado_vigencia],"Vigente")/K79)</f>
        <v/>
      </c>
      <c r="R7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Row],[Estatus]]=#REF!))&gt;0)),ROWS(R$18:R79)),"")</f>
        <v/>
      </c>
    </row>
    <row r="80" spans="10:18" ht="24.95" customHeight="1">
      <c r="J80" s="24" t="str">
        <f ca="1">IF($R80="","",INDEX(TablaClientes[ID Cliente],$R80)&amp;"")</f>
        <v/>
      </c>
      <c r="K80" s="24" t="str">
        <f ca="1">IF($R80="","",COUNTIFS(Tabla1[ID Cliente],J80,Tabla1[Tipo de Documento],'Tabla dinamica'!$T$3))</f>
        <v/>
      </c>
      <c r="L80" s="24" t="str">
        <f ca="1">IF($R80="","",COUNTIFS(Tabla1[ID Cliente],J80,Tabla1[Tipo de Documento],'Tabla dinamica'!$T$3,Tabla1[Estado de entrega],"Entregado"))</f>
        <v/>
      </c>
      <c r="M80" s="24" t="str">
        <f ca="1">IF($R80="","",COUNTIFS(Tabla1[ID Cliente],J80,Tabla1[Tipo de Documento],'Tabla dinamica'!$T$3,Tabla1[Estado de entrega],"Pendiente"))</f>
        <v/>
      </c>
      <c r="N80" s="24" t="str">
        <f ca="1">IF($R80="","",COUNTIFS(Tabla1[ID Cliente],J80,Tabla1[Tipo de Documento],'Tabla dinamica'!$T$3,Tabla1[Estado_vigencia],"Vencido"))</f>
        <v/>
      </c>
      <c r="O80" s="24" t="str">
        <f ca="1">IF($R80="","",COUNTIFS(Tabla1[ID Cliente],J80,Tabla1[Tipo de Documento],'Tabla dinamica'!$T$3,Tabla1[Estado_vigencia],"Alerta"))</f>
        <v/>
      </c>
      <c r="P80" s="26" t="str">
        <f ca="1">IF(OR($R80="",N(K80)=0),"",COUNTIFS(Tabla1[ID Cliente],J80,Tabla1[Tipo de Documento],'Tabla dinamica'!$T$3,Tabla1[Estado de entrega],"Entregado",Tabla1[Estado_vigencia],"Vigente")/K80)</f>
        <v/>
      </c>
      <c r="R8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Row],[Estatus]]=#REF!))&gt;0)),ROWS(R$18:R80)),"")</f>
        <v/>
      </c>
    </row>
    <row r="81" spans="10:18" ht="24.95" customHeight="1">
      <c r="J81" s="24" t="str">
        <f ca="1">IF($R81="","",INDEX(TablaClientes[ID Cliente],$R81)&amp;"")</f>
        <v/>
      </c>
      <c r="K81" s="24" t="str">
        <f ca="1">IF($R81="","",COUNTIFS(Tabla1[ID Cliente],J81,Tabla1[Tipo de Documento],'Tabla dinamica'!$T$3))</f>
        <v/>
      </c>
      <c r="L81" s="24" t="str">
        <f ca="1">IF($R81="","",COUNTIFS(Tabla1[ID Cliente],J81,Tabla1[Tipo de Documento],'Tabla dinamica'!$T$3,Tabla1[Estado de entrega],"Entregado"))</f>
        <v/>
      </c>
      <c r="M81" s="24" t="str">
        <f ca="1">IF($R81="","",COUNTIFS(Tabla1[ID Cliente],J81,Tabla1[Tipo de Documento],'Tabla dinamica'!$T$3,Tabla1[Estado de entrega],"Pendiente"))</f>
        <v/>
      </c>
      <c r="N81" s="24" t="str">
        <f ca="1">IF($R81="","",COUNTIFS(Tabla1[ID Cliente],J81,Tabla1[Tipo de Documento],'Tabla dinamica'!$T$3,Tabla1[Estado_vigencia],"Vencido"))</f>
        <v/>
      </c>
      <c r="O81" s="24" t="str">
        <f ca="1">IF($R81="","",COUNTIFS(Tabla1[ID Cliente],J81,Tabla1[Tipo de Documento],'Tabla dinamica'!$T$3,Tabla1[Estado_vigencia],"Alerta"))</f>
        <v/>
      </c>
      <c r="P81" s="26" t="str">
        <f ca="1">IF(OR($R81="",N(K81)=0),"",COUNTIFS(Tabla1[ID Cliente],J81,Tabla1[Tipo de Documento],'Tabla dinamica'!$T$3,Tabla1[Estado de entrega],"Entregado",Tabla1[Estado_vigencia],"Vigente")/K81)</f>
        <v/>
      </c>
      <c r="R8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Row],[Estatus]]=#REF!))&gt;0)),ROWS(R$18:R81)),"")</f>
        <v/>
      </c>
    </row>
    <row r="82" spans="10:18" ht="24.95" customHeight="1">
      <c r="J82" s="24" t="str">
        <f ca="1">IF($R82="","",INDEX(TablaClientes[ID Cliente],$R82)&amp;"")</f>
        <v/>
      </c>
      <c r="K82" s="24" t="str">
        <f ca="1">IF($R82="","",COUNTIFS(Tabla1[ID Cliente],J82,Tabla1[Tipo de Documento],'Tabla dinamica'!$T$3))</f>
        <v/>
      </c>
      <c r="L82" s="24" t="str">
        <f ca="1">IF($R82="","",COUNTIFS(Tabla1[ID Cliente],J82,Tabla1[Tipo de Documento],'Tabla dinamica'!$T$3,Tabla1[Estado de entrega],"Entregado"))</f>
        <v/>
      </c>
      <c r="M82" s="24" t="str">
        <f ca="1">IF($R82="","",COUNTIFS(Tabla1[ID Cliente],J82,Tabla1[Tipo de Documento],'Tabla dinamica'!$T$3,Tabla1[Estado de entrega],"Pendiente"))</f>
        <v/>
      </c>
      <c r="N82" s="24" t="str">
        <f ca="1">IF($R82="","",COUNTIFS(Tabla1[ID Cliente],J82,Tabla1[Tipo de Documento],'Tabla dinamica'!$T$3,Tabla1[Estado_vigencia],"Vencido"))</f>
        <v/>
      </c>
      <c r="O82" s="24" t="str">
        <f ca="1">IF($R82="","",COUNTIFS(Tabla1[ID Cliente],J82,Tabla1[Tipo de Documento],'Tabla dinamica'!$T$3,Tabla1[Estado_vigencia],"Alerta"))</f>
        <v/>
      </c>
      <c r="P82" s="26" t="str">
        <f ca="1">IF(OR($R82="",N(K82)=0),"",COUNTIFS(Tabla1[ID Cliente],J82,Tabla1[Tipo de Documento],'Tabla dinamica'!$T$3,Tabla1[Estado de entrega],"Entregado",Tabla1[Estado_vigencia],"Vigente")/K82)</f>
        <v/>
      </c>
      <c r="R8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Row],[Estatus]]=#REF!))&gt;0)),ROWS(R$18:R82)),"")</f>
        <v/>
      </c>
    </row>
    <row r="83" spans="10:18" ht="24.95" customHeight="1">
      <c r="J83" s="24" t="str">
        <f ca="1">IF($R83="","",INDEX(TablaClientes[ID Cliente],$R83)&amp;"")</f>
        <v/>
      </c>
      <c r="K83" s="24" t="str">
        <f ca="1">IF($R83="","",COUNTIFS(Tabla1[ID Cliente],J83,Tabla1[Tipo de Documento],'Tabla dinamica'!$T$3))</f>
        <v/>
      </c>
      <c r="L83" s="24" t="str">
        <f ca="1">IF($R83="","",COUNTIFS(Tabla1[ID Cliente],J83,Tabla1[Tipo de Documento],'Tabla dinamica'!$T$3,Tabla1[Estado de entrega],"Entregado"))</f>
        <v/>
      </c>
      <c r="M83" s="24" t="str">
        <f ca="1">IF($R83="","",COUNTIFS(Tabla1[ID Cliente],J83,Tabla1[Tipo de Documento],'Tabla dinamica'!$T$3,Tabla1[Estado de entrega],"Pendiente"))</f>
        <v/>
      </c>
      <c r="N83" s="24" t="str">
        <f ca="1">IF($R83="","",COUNTIFS(Tabla1[ID Cliente],J83,Tabla1[Tipo de Documento],'Tabla dinamica'!$T$3,Tabla1[Estado_vigencia],"Vencido"))</f>
        <v/>
      </c>
      <c r="O83" s="24" t="str">
        <f ca="1">IF($R83="","",COUNTIFS(Tabla1[ID Cliente],J83,Tabla1[Tipo de Documento],'Tabla dinamica'!$T$3,Tabla1[Estado_vigencia],"Alerta"))</f>
        <v/>
      </c>
      <c r="P83" s="26" t="str">
        <f ca="1">IF(OR($R83="",N(K83)=0),"",COUNTIFS(Tabla1[ID Cliente],J83,Tabla1[Tipo de Documento],'Tabla dinamica'!$T$3,Tabla1[Estado de entrega],"Entregado",Tabla1[Estado_vigencia],"Vigente")/K83)</f>
        <v/>
      </c>
      <c r="R8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Row],[Estatus]]=#REF!))&gt;0)),ROWS(R$18:R83)),"")</f>
        <v/>
      </c>
    </row>
    <row r="84" spans="10:18" ht="24.95" customHeight="1">
      <c r="J84" s="24" t="str">
        <f ca="1">IF($R84="","",INDEX(TablaClientes[ID Cliente],$R84)&amp;"")</f>
        <v/>
      </c>
      <c r="K84" s="24" t="str">
        <f ca="1">IF($R84="","",COUNTIFS(Tabla1[ID Cliente],J84,Tabla1[Tipo de Documento],'Tabla dinamica'!$T$3))</f>
        <v/>
      </c>
      <c r="L84" s="24" t="str">
        <f ca="1">IF($R84="","",COUNTIFS(Tabla1[ID Cliente],J84,Tabla1[Tipo de Documento],'Tabla dinamica'!$T$3,Tabla1[Estado de entrega],"Entregado"))</f>
        <v/>
      </c>
      <c r="M84" s="24" t="str">
        <f ca="1">IF($R84="","",COUNTIFS(Tabla1[ID Cliente],J84,Tabla1[Tipo de Documento],'Tabla dinamica'!$T$3,Tabla1[Estado de entrega],"Pendiente"))</f>
        <v/>
      </c>
      <c r="N84" s="24" t="str">
        <f ca="1">IF($R84="","",COUNTIFS(Tabla1[ID Cliente],J84,Tabla1[Tipo de Documento],'Tabla dinamica'!$T$3,Tabla1[Estado_vigencia],"Vencido"))</f>
        <v/>
      </c>
      <c r="O84" s="24" t="str">
        <f ca="1">IF($R84="","",COUNTIFS(Tabla1[ID Cliente],J84,Tabla1[Tipo de Documento],'Tabla dinamica'!$T$3,Tabla1[Estado_vigencia],"Alerta"))</f>
        <v/>
      </c>
      <c r="P84" s="26" t="str">
        <f ca="1">IF(OR($R84="",N(K84)=0),"",COUNTIFS(Tabla1[ID Cliente],J84,Tabla1[Tipo de Documento],'Tabla dinamica'!$T$3,Tabla1[Estado de entrega],"Entregado",Tabla1[Estado_vigencia],"Vigente")/K84)</f>
        <v/>
      </c>
      <c r="R8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Row],[Estatus]]=#REF!))&gt;0)),ROWS(R$18:R84)),"")</f>
        <v/>
      </c>
    </row>
    <row r="85" spans="10:18" ht="24.95" customHeight="1">
      <c r="J85" s="24" t="str">
        <f ca="1">IF($R85="","",INDEX(TablaClientes[ID Cliente],$R85)&amp;"")</f>
        <v/>
      </c>
      <c r="K85" s="24" t="str">
        <f ca="1">IF($R85="","",COUNTIFS(Tabla1[ID Cliente],J85,Tabla1[Tipo de Documento],'Tabla dinamica'!$T$3))</f>
        <v/>
      </c>
      <c r="L85" s="24" t="str">
        <f ca="1">IF($R85="","",COUNTIFS(Tabla1[ID Cliente],J85,Tabla1[Tipo de Documento],'Tabla dinamica'!$T$3,Tabla1[Estado de entrega],"Entregado"))</f>
        <v/>
      </c>
      <c r="M85" s="24" t="str">
        <f ca="1">IF($R85="","",COUNTIFS(Tabla1[ID Cliente],J85,Tabla1[Tipo de Documento],'Tabla dinamica'!$T$3,Tabla1[Estado de entrega],"Pendiente"))</f>
        <v/>
      </c>
      <c r="N85" s="24" t="str">
        <f ca="1">IF($R85="","",COUNTIFS(Tabla1[ID Cliente],J85,Tabla1[Tipo de Documento],'Tabla dinamica'!$T$3,Tabla1[Estado_vigencia],"Vencido"))</f>
        <v/>
      </c>
      <c r="O85" s="24" t="str">
        <f ca="1">IF($R85="","",COUNTIFS(Tabla1[ID Cliente],J85,Tabla1[Tipo de Documento],'Tabla dinamica'!$T$3,Tabla1[Estado_vigencia],"Alerta"))</f>
        <v/>
      </c>
      <c r="P85" s="26" t="str">
        <f ca="1">IF(OR($R85="",N(K85)=0),"",COUNTIFS(Tabla1[ID Cliente],J85,Tabla1[Tipo de Documento],'Tabla dinamica'!$T$3,Tabla1[Estado de entrega],"Entregado",Tabla1[Estado_vigencia],"Vigente")/K85)</f>
        <v/>
      </c>
      <c r="R8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Row],[Estatus]]=#REF!))&gt;0)),ROWS(R$18:R85)),"")</f>
        <v/>
      </c>
    </row>
    <row r="86" spans="10:18" ht="24.95" customHeight="1">
      <c r="J86" s="24" t="str">
        <f ca="1">IF($R86="","",INDEX(TablaClientes[ID Cliente],$R86)&amp;"")</f>
        <v/>
      </c>
      <c r="K86" s="24" t="str">
        <f ca="1">IF($R86="","",COUNTIFS(Tabla1[ID Cliente],J86,Tabla1[Tipo de Documento],'Tabla dinamica'!$T$3))</f>
        <v/>
      </c>
      <c r="L86" s="24" t="str">
        <f ca="1">IF($R86="","",COUNTIFS(Tabla1[ID Cliente],J86,Tabla1[Tipo de Documento],'Tabla dinamica'!$T$3,Tabla1[Estado de entrega],"Entregado"))</f>
        <v/>
      </c>
      <c r="M86" s="24" t="str">
        <f ca="1">IF($R86="","",COUNTIFS(Tabla1[ID Cliente],J86,Tabla1[Tipo de Documento],'Tabla dinamica'!$T$3,Tabla1[Estado de entrega],"Pendiente"))</f>
        <v/>
      </c>
      <c r="N86" s="24" t="str">
        <f ca="1">IF($R86="","",COUNTIFS(Tabla1[ID Cliente],J86,Tabla1[Tipo de Documento],'Tabla dinamica'!$T$3,Tabla1[Estado_vigencia],"Vencido"))</f>
        <v/>
      </c>
      <c r="O86" s="24" t="str">
        <f ca="1">IF($R86="","",COUNTIFS(Tabla1[ID Cliente],J86,Tabla1[Tipo de Documento],'Tabla dinamica'!$T$3,Tabla1[Estado_vigencia],"Alerta"))</f>
        <v/>
      </c>
      <c r="P86" s="26" t="str">
        <f ca="1">IF(OR($R86="",N(K86)=0),"",COUNTIFS(Tabla1[ID Cliente],J86,Tabla1[Tipo de Documento],'Tabla dinamica'!$T$3,Tabla1[Estado de entrega],"Entregado",Tabla1[Estado_vigencia],"Vigente")/K86)</f>
        <v/>
      </c>
      <c r="R8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Row],[Estatus]]=#REF!))&gt;0)),ROWS(R$18:R86)),"")</f>
        <v/>
      </c>
    </row>
    <row r="87" spans="10:18" ht="24.95" customHeight="1">
      <c r="J87" s="24" t="str">
        <f ca="1">IF($R87="","",INDEX(TablaClientes[ID Cliente],$R87)&amp;"")</f>
        <v/>
      </c>
      <c r="K87" s="24" t="str">
        <f ca="1">IF($R87="","",COUNTIFS(Tabla1[ID Cliente],J87,Tabla1[Tipo de Documento],'Tabla dinamica'!$T$3))</f>
        <v/>
      </c>
      <c r="L87" s="24" t="str">
        <f ca="1">IF($R87="","",COUNTIFS(Tabla1[ID Cliente],J87,Tabla1[Tipo de Documento],'Tabla dinamica'!$T$3,Tabla1[Estado de entrega],"Entregado"))</f>
        <v/>
      </c>
      <c r="M87" s="24" t="str">
        <f ca="1">IF($R87="","",COUNTIFS(Tabla1[ID Cliente],J87,Tabla1[Tipo de Documento],'Tabla dinamica'!$T$3,Tabla1[Estado de entrega],"Pendiente"))</f>
        <v/>
      </c>
      <c r="N87" s="24" t="str">
        <f ca="1">IF($R87="","",COUNTIFS(Tabla1[ID Cliente],J87,Tabla1[Tipo de Documento],'Tabla dinamica'!$T$3,Tabla1[Estado_vigencia],"Vencido"))</f>
        <v/>
      </c>
      <c r="O87" s="24" t="str">
        <f ca="1">IF($R87="","",COUNTIFS(Tabla1[ID Cliente],J87,Tabla1[Tipo de Documento],'Tabla dinamica'!$T$3,Tabla1[Estado_vigencia],"Alerta"))</f>
        <v/>
      </c>
      <c r="P87" s="26" t="str">
        <f ca="1">IF(OR($R87="",N(K87)=0),"",COUNTIFS(Tabla1[ID Cliente],J87,Tabla1[Tipo de Documento],'Tabla dinamica'!$T$3,Tabla1[Estado de entrega],"Entregado",Tabla1[Estado_vigencia],"Vigente")/K87)</f>
        <v/>
      </c>
      <c r="R8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Row],[Estatus]]=#REF!))&gt;0)),ROWS(R$18:R87)),"")</f>
        <v/>
      </c>
    </row>
    <row r="88" spans="10:18" ht="24.95" customHeight="1">
      <c r="J88" s="24" t="str">
        <f ca="1">IF($R88="","",INDEX(TablaClientes[ID Cliente],$R88)&amp;"")</f>
        <v/>
      </c>
      <c r="K88" s="24" t="str">
        <f ca="1">IF($R88="","",COUNTIFS(Tabla1[ID Cliente],J88,Tabla1[Tipo de Documento],'Tabla dinamica'!$T$3))</f>
        <v/>
      </c>
      <c r="L88" s="24" t="str">
        <f ca="1">IF($R88="","",COUNTIFS(Tabla1[ID Cliente],J88,Tabla1[Tipo de Documento],'Tabla dinamica'!$T$3,Tabla1[Estado de entrega],"Entregado"))</f>
        <v/>
      </c>
      <c r="M88" s="24" t="str">
        <f ca="1">IF($R88="","",COUNTIFS(Tabla1[ID Cliente],J88,Tabla1[Tipo de Documento],'Tabla dinamica'!$T$3,Tabla1[Estado de entrega],"Pendiente"))</f>
        <v/>
      </c>
      <c r="N88" s="24" t="str">
        <f ca="1">IF($R88="","",COUNTIFS(Tabla1[ID Cliente],J88,Tabla1[Tipo de Documento],'Tabla dinamica'!$T$3,Tabla1[Estado_vigencia],"Vencido"))</f>
        <v/>
      </c>
      <c r="O88" s="24" t="str">
        <f ca="1">IF($R88="","",COUNTIFS(Tabla1[ID Cliente],J88,Tabla1[Tipo de Documento],'Tabla dinamica'!$T$3,Tabla1[Estado_vigencia],"Alerta"))</f>
        <v/>
      </c>
      <c r="P88" s="26" t="str">
        <f ca="1">IF(OR($R88="",N(K88)=0),"",COUNTIFS(Tabla1[ID Cliente],J88,Tabla1[Tipo de Documento],'Tabla dinamica'!$T$3,Tabla1[Estado de entrega],"Entregado",Tabla1[Estado_vigencia],"Vigente")/K88)</f>
        <v/>
      </c>
      <c r="R8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Row],[Estatus]]=#REF!))&gt;0)),ROWS(R$18:R88)),"")</f>
        <v/>
      </c>
    </row>
    <row r="89" spans="10:18" ht="24.95" customHeight="1">
      <c r="J89" s="24" t="str">
        <f ca="1">IF($R89="","",INDEX(TablaClientes[ID Cliente],$R89)&amp;"")</f>
        <v/>
      </c>
      <c r="K89" s="24" t="str">
        <f ca="1">IF($R89="","",COUNTIFS(Tabla1[ID Cliente],J89,Tabla1[Tipo de Documento],'Tabla dinamica'!$T$3))</f>
        <v/>
      </c>
      <c r="L89" s="24" t="str">
        <f ca="1">IF($R89="","",COUNTIFS(Tabla1[ID Cliente],J89,Tabla1[Tipo de Documento],'Tabla dinamica'!$T$3,Tabla1[Estado de entrega],"Entregado"))</f>
        <v/>
      </c>
      <c r="M89" s="24" t="str">
        <f ca="1">IF($R89="","",COUNTIFS(Tabla1[ID Cliente],J89,Tabla1[Tipo de Documento],'Tabla dinamica'!$T$3,Tabla1[Estado de entrega],"Pendiente"))</f>
        <v/>
      </c>
      <c r="N89" s="24" t="str">
        <f ca="1">IF($R89="","",COUNTIFS(Tabla1[ID Cliente],J89,Tabla1[Tipo de Documento],'Tabla dinamica'!$T$3,Tabla1[Estado_vigencia],"Vencido"))</f>
        <v/>
      </c>
      <c r="O89" s="24" t="str">
        <f ca="1">IF($R89="","",COUNTIFS(Tabla1[ID Cliente],J89,Tabla1[Tipo de Documento],'Tabla dinamica'!$T$3,Tabla1[Estado_vigencia],"Alerta"))</f>
        <v/>
      </c>
      <c r="P89" s="26" t="str">
        <f ca="1">IF(OR($R89="",N(K89)=0),"",COUNTIFS(Tabla1[ID Cliente],J89,Tabla1[Tipo de Documento],'Tabla dinamica'!$T$3,Tabla1[Estado de entrega],"Entregado",Tabla1[Estado_vigencia],"Vigente")/K89)</f>
        <v/>
      </c>
      <c r="R8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Row],[Estatus]]=#REF!))&gt;0)),ROWS(R$18:R89)),"")</f>
        <v/>
      </c>
    </row>
    <row r="90" spans="10:18" ht="24.95" customHeight="1">
      <c r="J90" s="24" t="str">
        <f ca="1">IF($R90="","",INDEX(TablaClientes[ID Cliente],$R90)&amp;"")</f>
        <v/>
      </c>
      <c r="K90" s="24" t="str">
        <f ca="1">IF($R90="","",COUNTIFS(Tabla1[ID Cliente],J90,Tabla1[Tipo de Documento],'Tabla dinamica'!$T$3))</f>
        <v/>
      </c>
      <c r="L90" s="24" t="str">
        <f ca="1">IF($R90="","",COUNTIFS(Tabla1[ID Cliente],J90,Tabla1[Tipo de Documento],'Tabla dinamica'!$T$3,Tabla1[Estado de entrega],"Entregado"))</f>
        <v/>
      </c>
      <c r="M90" s="24" t="str">
        <f ca="1">IF($R90="","",COUNTIFS(Tabla1[ID Cliente],J90,Tabla1[Tipo de Documento],'Tabla dinamica'!$T$3,Tabla1[Estado de entrega],"Pendiente"))</f>
        <v/>
      </c>
      <c r="N90" s="24" t="str">
        <f ca="1">IF($R90="","",COUNTIFS(Tabla1[ID Cliente],J90,Tabla1[Tipo de Documento],'Tabla dinamica'!$T$3,Tabla1[Estado_vigencia],"Vencido"))</f>
        <v/>
      </c>
      <c r="O90" s="24" t="str">
        <f ca="1">IF($R90="","",COUNTIFS(Tabla1[ID Cliente],J90,Tabla1[Tipo de Documento],'Tabla dinamica'!$T$3,Tabla1[Estado_vigencia],"Alerta"))</f>
        <v/>
      </c>
      <c r="P90" s="26" t="str">
        <f ca="1">IF(OR($R90="",N(K90)=0),"",COUNTIFS(Tabla1[ID Cliente],J90,Tabla1[Tipo de Documento],'Tabla dinamica'!$T$3,Tabla1[Estado de entrega],"Entregado",Tabla1[Estado_vigencia],"Vigente")/K90)</f>
        <v/>
      </c>
      <c r="R9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Row],[Estatus]]=#REF!))&gt;0)),ROWS(R$18:R90)),"")</f>
        <v/>
      </c>
    </row>
    <row r="91" spans="10:18" ht="24.95" customHeight="1">
      <c r="J91" s="24" t="str">
        <f ca="1">IF($R91="","",INDEX(TablaClientes[ID Cliente],$R91)&amp;"")</f>
        <v/>
      </c>
      <c r="K91" s="24" t="str">
        <f ca="1">IF($R91="","",COUNTIFS(Tabla1[ID Cliente],J91,Tabla1[Tipo de Documento],'Tabla dinamica'!$T$3))</f>
        <v/>
      </c>
      <c r="L91" s="24" t="str">
        <f ca="1">IF($R91="","",COUNTIFS(Tabla1[ID Cliente],J91,Tabla1[Tipo de Documento],'Tabla dinamica'!$T$3,Tabla1[Estado de entrega],"Entregado"))</f>
        <v/>
      </c>
      <c r="M91" s="24" t="str">
        <f ca="1">IF($R91="","",COUNTIFS(Tabla1[ID Cliente],J91,Tabla1[Tipo de Documento],'Tabla dinamica'!$T$3,Tabla1[Estado de entrega],"Pendiente"))</f>
        <v/>
      </c>
      <c r="N91" s="24" t="str">
        <f ca="1">IF($R91="","",COUNTIFS(Tabla1[ID Cliente],J91,Tabla1[Tipo de Documento],'Tabla dinamica'!$T$3,Tabla1[Estado_vigencia],"Vencido"))</f>
        <v/>
      </c>
      <c r="O91" s="24" t="str">
        <f ca="1">IF($R91="","",COUNTIFS(Tabla1[ID Cliente],J91,Tabla1[Tipo de Documento],'Tabla dinamica'!$T$3,Tabla1[Estado_vigencia],"Alerta"))</f>
        <v/>
      </c>
      <c r="P91" s="26" t="str">
        <f ca="1">IF(OR($R91="",N(K91)=0),"",COUNTIFS(Tabla1[ID Cliente],J91,Tabla1[Tipo de Documento],'Tabla dinamica'!$T$3,Tabla1[Estado de entrega],"Entregado",Tabla1[Estado_vigencia],"Vigente")/K91)</f>
        <v/>
      </c>
      <c r="R9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Row],[Estatus]]=#REF!))&gt;0)),ROWS(R$18:R91)),"")</f>
        <v/>
      </c>
    </row>
    <row r="92" spans="10:18" ht="24.95" customHeight="1">
      <c r="J92" s="24" t="str">
        <f ca="1">IF($R92="","",INDEX(TablaClientes[ID Cliente],$R92)&amp;"")</f>
        <v/>
      </c>
      <c r="K92" s="24" t="str">
        <f ca="1">IF($R92="","",COUNTIFS(Tabla1[ID Cliente],J92,Tabla1[Tipo de Documento],'Tabla dinamica'!$T$3))</f>
        <v/>
      </c>
      <c r="L92" s="24" t="str">
        <f ca="1">IF($R92="","",COUNTIFS(Tabla1[ID Cliente],J92,Tabla1[Tipo de Documento],'Tabla dinamica'!$T$3,Tabla1[Estado de entrega],"Entregado"))</f>
        <v/>
      </c>
      <c r="M92" s="24" t="str">
        <f ca="1">IF($R92="","",COUNTIFS(Tabla1[ID Cliente],J92,Tabla1[Tipo de Documento],'Tabla dinamica'!$T$3,Tabla1[Estado de entrega],"Pendiente"))</f>
        <v/>
      </c>
      <c r="N92" s="24" t="str">
        <f ca="1">IF($R92="","",COUNTIFS(Tabla1[ID Cliente],J92,Tabla1[Tipo de Documento],'Tabla dinamica'!$T$3,Tabla1[Estado_vigencia],"Vencido"))</f>
        <v/>
      </c>
      <c r="O92" s="24" t="str">
        <f ca="1">IF($R92="","",COUNTIFS(Tabla1[ID Cliente],J92,Tabla1[Tipo de Documento],'Tabla dinamica'!$T$3,Tabla1[Estado_vigencia],"Alerta"))</f>
        <v/>
      </c>
      <c r="P92" s="26" t="str">
        <f ca="1">IF(OR($R92="",N(K92)=0),"",COUNTIFS(Tabla1[ID Cliente],J92,Tabla1[Tipo de Documento],'Tabla dinamica'!$T$3,Tabla1[Estado de entrega],"Entregado",Tabla1[Estado_vigencia],"Vigente")/K92)</f>
        <v/>
      </c>
      <c r="R9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Row],[Estatus]]=#REF!))&gt;0)),ROWS(R$18:R92)),"")</f>
        <v/>
      </c>
    </row>
    <row r="93" spans="10:18" ht="24.95" customHeight="1">
      <c r="J93" s="24" t="str">
        <f ca="1">IF($R93="","",INDEX(TablaClientes[ID Cliente],$R93)&amp;"")</f>
        <v/>
      </c>
      <c r="K93" s="24" t="str">
        <f ca="1">IF($R93="","",COUNTIFS(Tabla1[ID Cliente],J93,Tabla1[Tipo de Documento],'Tabla dinamica'!$T$3))</f>
        <v/>
      </c>
      <c r="L93" s="24" t="str">
        <f ca="1">IF($R93="","",COUNTIFS(Tabla1[ID Cliente],J93,Tabla1[Tipo de Documento],'Tabla dinamica'!$T$3,Tabla1[Estado de entrega],"Entregado"))</f>
        <v/>
      </c>
      <c r="M93" s="24" t="str">
        <f ca="1">IF($R93="","",COUNTIFS(Tabla1[ID Cliente],J93,Tabla1[Tipo de Documento],'Tabla dinamica'!$T$3,Tabla1[Estado de entrega],"Pendiente"))</f>
        <v/>
      </c>
      <c r="N93" s="24" t="str">
        <f ca="1">IF($R93="","",COUNTIFS(Tabla1[ID Cliente],J93,Tabla1[Tipo de Documento],'Tabla dinamica'!$T$3,Tabla1[Estado_vigencia],"Vencido"))</f>
        <v/>
      </c>
      <c r="O93" s="24" t="str">
        <f ca="1">IF($R93="","",COUNTIFS(Tabla1[ID Cliente],J93,Tabla1[Tipo de Documento],'Tabla dinamica'!$T$3,Tabla1[Estado_vigencia],"Alerta"))</f>
        <v/>
      </c>
      <c r="P93" s="26" t="str">
        <f ca="1">IF(OR($R93="",N(K93)=0),"",COUNTIFS(Tabla1[ID Cliente],J93,Tabla1[Tipo de Documento],'Tabla dinamica'!$T$3,Tabla1[Estado de entrega],"Entregado",Tabla1[Estado_vigencia],"Vigente")/K93)</f>
        <v/>
      </c>
      <c r="R9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Row],[Estatus]]=#REF!))&gt;0)),ROWS(R$18:R93)),"")</f>
        <v/>
      </c>
    </row>
    <row r="94" spans="10:18" ht="24.95" customHeight="1">
      <c r="J94" s="24" t="str">
        <f ca="1">IF($R94="","",INDEX(TablaClientes[ID Cliente],$R94)&amp;"")</f>
        <v/>
      </c>
      <c r="K94" s="24" t="str">
        <f ca="1">IF($R94="","",COUNTIFS(Tabla1[ID Cliente],J94,Tabla1[Tipo de Documento],'Tabla dinamica'!$T$3))</f>
        <v/>
      </c>
      <c r="L94" s="24" t="str">
        <f ca="1">IF($R94="","",COUNTIFS(Tabla1[ID Cliente],J94,Tabla1[Tipo de Documento],'Tabla dinamica'!$T$3,Tabla1[Estado de entrega],"Entregado"))</f>
        <v/>
      </c>
      <c r="M94" s="24" t="str">
        <f ca="1">IF($R94="","",COUNTIFS(Tabla1[ID Cliente],J94,Tabla1[Tipo de Documento],'Tabla dinamica'!$T$3,Tabla1[Estado de entrega],"Pendiente"))</f>
        <v/>
      </c>
      <c r="N94" s="24" t="str">
        <f ca="1">IF($R94="","",COUNTIFS(Tabla1[ID Cliente],J94,Tabla1[Tipo de Documento],'Tabla dinamica'!$T$3,Tabla1[Estado_vigencia],"Vencido"))</f>
        <v/>
      </c>
      <c r="O94" s="24" t="str">
        <f ca="1">IF($R94="","",COUNTIFS(Tabla1[ID Cliente],J94,Tabla1[Tipo de Documento],'Tabla dinamica'!$T$3,Tabla1[Estado_vigencia],"Alerta"))</f>
        <v/>
      </c>
      <c r="P94" s="26" t="str">
        <f ca="1">IF(OR($R94="",N(K94)=0),"",COUNTIFS(Tabla1[ID Cliente],J94,Tabla1[Tipo de Documento],'Tabla dinamica'!$T$3,Tabla1[Estado de entrega],"Entregado",Tabla1[Estado_vigencia],"Vigente")/K94)</f>
        <v/>
      </c>
      <c r="R9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Row],[Estatus]]=#REF!))&gt;0)),ROWS(R$18:R94)),"")</f>
        <v/>
      </c>
    </row>
    <row r="95" spans="10:18" ht="24.95" customHeight="1">
      <c r="J95" s="24" t="str">
        <f ca="1">IF($R95="","",INDEX(TablaClientes[ID Cliente],$R95)&amp;"")</f>
        <v/>
      </c>
      <c r="K95" s="24" t="str">
        <f ca="1">IF($R95="","",COUNTIFS(Tabla1[ID Cliente],J95,Tabla1[Tipo de Documento],'Tabla dinamica'!$T$3))</f>
        <v/>
      </c>
      <c r="L95" s="24" t="str">
        <f ca="1">IF($R95="","",COUNTIFS(Tabla1[ID Cliente],J95,Tabla1[Tipo de Documento],'Tabla dinamica'!$T$3,Tabla1[Estado de entrega],"Entregado"))</f>
        <v/>
      </c>
      <c r="M95" s="24" t="str">
        <f ca="1">IF($R95="","",COUNTIFS(Tabla1[ID Cliente],J95,Tabla1[Tipo de Documento],'Tabla dinamica'!$T$3,Tabla1[Estado de entrega],"Pendiente"))</f>
        <v/>
      </c>
      <c r="N95" s="24" t="str">
        <f ca="1">IF($R95="","",COUNTIFS(Tabla1[ID Cliente],J95,Tabla1[Tipo de Documento],'Tabla dinamica'!$T$3,Tabla1[Estado_vigencia],"Vencido"))</f>
        <v/>
      </c>
      <c r="O95" s="24" t="str">
        <f ca="1">IF($R95="","",COUNTIFS(Tabla1[ID Cliente],J95,Tabla1[Tipo de Documento],'Tabla dinamica'!$T$3,Tabla1[Estado_vigencia],"Alerta"))</f>
        <v/>
      </c>
      <c r="P95" s="26" t="str">
        <f ca="1">IF(OR($R95="",N(K95)=0),"",COUNTIFS(Tabla1[ID Cliente],J95,Tabla1[Tipo de Documento],'Tabla dinamica'!$T$3,Tabla1[Estado de entrega],"Entregado",Tabla1[Estado_vigencia],"Vigente")/K95)</f>
        <v/>
      </c>
      <c r="R9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Row],[Estatus]]=#REF!))&gt;0)),ROWS(R$18:R95)),"")</f>
        <v/>
      </c>
    </row>
    <row r="96" spans="10:18" ht="24.95" customHeight="1">
      <c r="J96" s="24" t="str">
        <f ca="1">IF($R96="","",INDEX(TablaClientes[ID Cliente],$R96)&amp;"")</f>
        <v/>
      </c>
      <c r="K96" s="24" t="str">
        <f ca="1">IF($R96="","",COUNTIFS(Tabla1[ID Cliente],J96,Tabla1[Tipo de Documento],'Tabla dinamica'!$T$3))</f>
        <v/>
      </c>
      <c r="L96" s="24" t="str">
        <f ca="1">IF($R96="","",COUNTIFS(Tabla1[ID Cliente],J96,Tabla1[Tipo de Documento],'Tabla dinamica'!$T$3,Tabla1[Estado de entrega],"Entregado"))</f>
        <v/>
      </c>
      <c r="M96" s="24" t="str">
        <f ca="1">IF($R96="","",COUNTIFS(Tabla1[ID Cliente],J96,Tabla1[Tipo de Documento],'Tabla dinamica'!$T$3,Tabla1[Estado de entrega],"Pendiente"))</f>
        <v/>
      </c>
      <c r="N96" s="24" t="str">
        <f ca="1">IF($R96="","",COUNTIFS(Tabla1[ID Cliente],J96,Tabla1[Tipo de Documento],'Tabla dinamica'!$T$3,Tabla1[Estado_vigencia],"Vencido"))</f>
        <v/>
      </c>
      <c r="O96" s="24" t="str">
        <f ca="1">IF($R96="","",COUNTIFS(Tabla1[ID Cliente],J96,Tabla1[Tipo de Documento],'Tabla dinamica'!$T$3,Tabla1[Estado_vigencia],"Alerta"))</f>
        <v/>
      </c>
      <c r="P96" s="26" t="str">
        <f ca="1">IF(OR($R96="",N(K96)=0),"",COUNTIFS(Tabla1[ID Cliente],J96,Tabla1[Tipo de Documento],'Tabla dinamica'!$T$3,Tabla1[Estado de entrega],"Entregado",Tabla1[Estado_vigencia],"Vigente")/K96)</f>
        <v/>
      </c>
      <c r="R9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Row],[Estatus]]=#REF!))&gt;0)),ROWS(R$18:R96)),"")</f>
        <v/>
      </c>
    </row>
    <row r="97" spans="10:18" ht="24.95" customHeight="1">
      <c r="J97" s="24" t="str">
        <f ca="1">IF($R97="","",INDEX(TablaClientes[ID Cliente],$R97)&amp;"")</f>
        <v/>
      </c>
      <c r="K97" s="24" t="str">
        <f ca="1">IF($R97="","",COUNTIFS(Tabla1[ID Cliente],J97,Tabla1[Tipo de Documento],'Tabla dinamica'!$T$3))</f>
        <v/>
      </c>
      <c r="L97" s="24" t="str">
        <f ca="1">IF($R97="","",COUNTIFS(Tabla1[ID Cliente],J97,Tabla1[Tipo de Documento],'Tabla dinamica'!$T$3,Tabla1[Estado de entrega],"Entregado"))</f>
        <v/>
      </c>
      <c r="M97" s="24" t="str">
        <f ca="1">IF($R97="","",COUNTIFS(Tabla1[ID Cliente],J97,Tabla1[Tipo de Documento],'Tabla dinamica'!$T$3,Tabla1[Estado de entrega],"Pendiente"))</f>
        <v/>
      </c>
      <c r="N97" s="24" t="str">
        <f ca="1">IF($R97="","",COUNTIFS(Tabla1[ID Cliente],J97,Tabla1[Tipo de Documento],'Tabla dinamica'!$T$3,Tabla1[Estado_vigencia],"Vencido"))</f>
        <v/>
      </c>
      <c r="O97" s="24" t="str">
        <f ca="1">IF($R97="","",COUNTIFS(Tabla1[ID Cliente],J97,Tabla1[Tipo de Documento],'Tabla dinamica'!$T$3,Tabla1[Estado_vigencia],"Alerta"))</f>
        <v/>
      </c>
      <c r="P97" s="26" t="str">
        <f ca="1">IF(OR($R97="",N(K97)=0),"",COUNTIFS(Tabla1[ID Cliente],J97,Tabla1[Tipo de Documento],'Tabla dinamica'!$T$3,Tabla1[Estado de entrega],"Entregado",Tabla1[Estado_vigencia],"Vigente")/K97)</f>
        <v/>
      </c>
      <c r="R9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Row],[Estatus]]=#REF!))&gt;0)),ROWS(R$18:R97)),"")</f>
        <v/>
      </c>
    </row>
    <row r="98" spans="10:18" ht="24.95" customHeight="1">
      <c r="J98" s="24" t="str">
        <f ca="1">IF($R98="","",INDEX(TablaClientes[ID Cliente],$R98)&amp;"")</f>
        <v/>
      </c>
      <c r="K98" s="24" t="str">
        <f ca="1">IF($R98="","",COUNTIFS(Tabla1[ID Cliente],J98,Tabla1[Tipo de Documento],'Tabla dinamica'!$T$3))</f>
        <v/>
      </c>
      <c r="L98" s="24" t="str">
        <f ca="1">IF($R98="","",COUNTIFS(Tabla1[ID Cliente],J98,Tabla1[Tipo de Documento],'Tabla dinamica'!$T$3,Tabla1[Estado de entrega],"Entregado"))</f>
        <v/>
      </c>
      <c r="M98" s="24" t="str">
        <f ca="1">IF($R98="","",COUNTIFS(Tabla1[ID Cliente],J98,Tabla1[Tipo de Documento],'Tabla dinamica'!$T$3,Tabla1[Estado de entrega],"Pendiente"))</f>
        <v/>
      </c>
      <c r="N98" s="24" t="str">
        <f ca="1">IF($R98="","",COUNTIFS(Tabla1[ID Cliente],J98,Tabla1[Tipo de Documento],'Tabla dinamica'!$T$3,Tabla1[Estado_vigencia],"Vencido"))</f>
        <v/>
      </c>
      <c r="O98" s="24" t="str">
        <f ca="1">IF($R98="","",COUNTIFS(Tabla1[ID Cliente],J98,Tabla1[Tipo de Documento],'Tabla dinamica'!$T$3,Tabla1[Estado_vigencia],"Alerta"))</f>
        <v/>
      </c>
      <c r="P98" s="26" t="str">
        <f ca="1">IF(OR($R98="",N(K98)=0),"",COUNTIFS(Tabla1[ID Cliente],J98,Tabla1[Tipo de Documento],'Tabla dinamica'!$T$3,Tabla1[Estado de entrega],"Entregado",Tabla1[Estado_vigencia],"Vigente")/K98)</f>
        <v/>
      </c>
      <c r="R9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Row],[Estatus]]=#REF!))&gt;0)),ROWS(R$18:R98)),"")</f>
        <v/>
      </c>
    </row>
    <row r="99" spans="10:18" ht="24.95" customHeight="1">
      <c r="J99" s="24" t="str">
        <f ca="1">IF($R99="","",INDEX(TablaClientes[ID Cliente],$R99)&amp;"")</f>
        <v/>
      </c>
      <c r="K99" s="24" t="str">
        <f ca="1">IF($R99="","",COUNTIFS(Tabla1[ID Cliente],J99,Tabla1[Tipo de Documento],'Tabla dinamica'!$T$3))</f>
        <v/>
      </c>
      <c r="L99" s="24" t="str">
        <f ca="1">IF($R99="","",COUNTIFS(Tabla1[ID Cliente],J99,Tabla1[Tipo de Documento],'Tabla dinamica'!$T$3,Tabla1[Estado de entrega],"Entregado"))</f>
        <v/>
      </c>
      <c r="M99" s="24" t="str">
        <f ca="1">IF($R99="","",COUNTIFS(Tabla1[ID Cliente],J99,Tabla1[Tipo de Documento],'Tabla dinamica'!$T$3,Tabla1[Estado de entrega],"Pendiente"))</f>
        <v/>
      </c>
      <c r="N99" s="24" t="str">
        <f ca="1">IF($R99="","",COUNTIFS(Tabla1[ID Cliente],J99,Tabla1[Tipo de Documento],'Tabla dinamica'!$T$3,Tabla1[Estado_vigencia],"Vencido"))</f>
        <v/>
      </c>
      <c r="O99" s="24" t="str">
        <f ca="1">IF($R99="","",COUNTIFS(Tabla1[ID Cliente],J99,Tabla1[Tipo de Documento],'Tabla dinamica'!$T$3,Tabla1[Estado_vigencia],"Alerta"))</f>
        <v/>
      </c>
      <c r="P99" s="26" t="str">
        <f ca="1">IF(OR($R99="",N(K99)=0),"",COUNTIFS(Tabla1[ID Cliente],J99,Tabla1[Tipo de Documento],'Tabla dinamica'!$T$3,Tabla1[Estado de entrega],"Entregado",Tabla1[Estado_vigencia],"Vigente")/K99)</f>
        <v/>
      </c>
      <c r="R9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Row],[Estatus]]=#REF!))&gt;0)),ROWS(R$18:R99)),"")</f>
        <v/>
      </c>
    </row>
    <row r="100" spans="10:18" ht="24.95" customHeight="1">
      <c r="J100" s="24" t="str">
        <f ca="1">IF($R100="","",INDEX(TablaClientes[ID Cliente],$R100)&amp;"")</f>
        <v/>
      </c>
      <c r="K100" s="24" t="str">
        <f ca="1">IF($R100="","",COUNTIFS(Tabla1[ID Cliente],J100,Tabla1[Tipo de Documento],'Tabla dinamica'!$T$3))</f>
        <v/>
      </c>
      <c r="L100" s="24" t="str">
        <f ca="1">IF($R100="","",COUNTIFS(Tabla1[ID Cliente],J100,Tabla1[Tipo de Documento],'Tabla dinamica'!$T$3,Tabla1[Estado de entrega],"Entregado"))</f>
        <v/>
      </c>
      <c r="M100" s="24" t="str">
        <f ca="1">IF($R100="","",COUNTIFS(Tabla1[ID Cliente],J100,Tabla1[Tipo de Documento],'Tabla dinamica'!$T$3,Tabla1[Estado de entrega],"Pendiente"))</f>
        <v/>
      </c>
      <c r="N100" s="24" t="str">
        <f ca="1">IF($R100="","",COUNTIFS(Tabla1[ID Cliente],J100,Tabla1[Tipo de Documento],'Tabla dinamica'!$T$3,Tabla1[Estado_vigencia],"Vencido"))</f>
        <v/>
      </c>
      <c r="O100" s="24" t="str">
        <f ca="1">IF($R100="","",COUNTIFS(Tabla1[ID Cliente],J100,Tabla1[Tipo de Documento],'Tabla dinamica'!$T$3,Tabla1[Estado_vigencia],"Alerta"))</f>
        <v/>
      </c>
      <c r="P100" s="26" t="str">
        <f ca="1">IF(OR($R100="",N(K100)=0),"",COUNTIFS(Tabla1[ID Cliente],J100,Tabla1[Tipo de Documento],'Tabla dinamica'!$T$3,Tabla1[Estado de entrega],"Entregado",Tabla1[Estado_vigencia],"Vigente")/K100)</f>
        <v/>
      </c>
      <c r="R10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Row],[Estatus]]=#REF!))&gt;0)),ROWS(R$18:R100)),"")</f>
        <v/>
      </c>
    </row>
    <row r="101" spans="10:18" ht="24.95" customHeight="1">
      <c r="J101" s="24" t="str">
        <f ca="1">IF($R101="","",INDEX(TablaClientes[ID Cliente],$R101)&amp;"")</f>
        <v/>
      </c>
      <c r="K101" s="24" t="str">
        <f ca="1">IF($R101="","",COUNTIFS(Tabla1[ID Cliente],J101,Tabla1[Tipo de Documento],'Tabla dinamica'!$T$3))</f>
        <v/>
      </c>
      <c r="L101" s="24" t="str">
        <f ca="1">IF($R101="","",COUNTIFS(Tabla1[ID Cliente],J101,Tabla1[Tipo de Documento],'Tabla dinamica'!$T$3,Tabla1[Estado de entrega],"Entregado"))</f>
        <v/>
      </c>
      <c r="M101" s="24" t="str">
        <f ca="1">IF($R101="","",COUNTIFS(Tabla1[ID Cliente],J101,Tabla1[Tipo de Documento],'Tabla dinamica'!$T$3,Tabla1[Estado de entrega],"Pendiente"))</f>
        <v/>
      </c>
      <c r="N101" s="24" t="str">
        <f ca="1">IF($R101="","",COUNTIFS(Tabla1[ID Cliente],J101,Tabla1[Tipo de Documento],'Tabla dinamica'!$T$3,Tabla1[Estado_vigencia],"Vencido"))</f>
        <v/>
      </c>
      <c r="O101" s="24" t="str">
        <f ca="1">IF($R101="","",COUNTIFS(Tabla1[ID Cliente],J101,Tabla1[Tipo de Documento],'Tabla dinamica'!$T$3,Tabla1[Estado_vigencia],"Alerta"))</f>
        <v/>
      </c>
      <c r="P101" s="26" t="str">
        <f ca="1">IF(OR($R101="",N(K101)=0),"",COUNTIFS(Tabla1[ID Cliente],J101,Tabla1[Tipo de Documento],'Tabla dinamica'!$T$3,Tabla1[Estado de entrega],"Entregado",Tabla1[Estado_vigencia],"Vigente")/K101)</f>
        <v/>
      </c>
      <c r="R10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Row],[Estatus]]=#REF!))&gt;0)),ROWS(R$18:R101)),"")</f>
        <v/>
      </c>
    </row>
    <row r="102" spans="10:18" ht="24.95" customHeight="1">
      <c r="J102" s="24" t="str">
        <f ca="1">IF($R102="","",INDEX(TablaClientes[ID Cliente],$R102)&amp;"")</f>
        <v/>
      </c>
      <c r="K102" s="24" t="str">
        <f ca="1">IF($R102="","",COUNTIFS(Tabla1[ID Cliente],J102,Tabla1[Tipo de Documento],'Tabla dinamica'!$T$3))</f>
        <v/>
      </c>
      <c r="L102" s="24" t="str">
        <f ca="1">IF($R102="","",COUNTIFS(Tabla1[ID Cliente],J102,Tabla1[Tipo de Documento],'Tabla dinamica'!$T$3,Tabla1[Estado de entrega],"Entregado"))</f>
        <v/>
      </c>
      <c r="M102" s="24" t="str">
        <f ca="1">IF($R102="","",COUNTIFS(Tabla1[ID Cliente],J102,Tabla1[Tipo de Documento],'Tabla dinamica'!$T$3,Tabla1[Estado de entrega],"Pendiente"))</f>
        <v/>
      </c>
      <c r="N102" s="24" t="str">
        <f ca="1">IF($R102="","",COUNTIFS(Tabla1[ID Cliente],J102,Tabla1[Tipo de Documento],'Tabla dinamica'!$T$3,Tabla1[Estado_vigencia],"Vencido"))</f>
        <v/>
      </c>
      <c r="O102" s="24" t="str">
        <f ca="1">IF($R102="","",COUNTIFS(Tabla1[ID Cliente],J102,Tabla1[Tipo de Documento],'Tabla dinamica'!$T$3,Tabla1[Estado_vigencia],"Alerta"))</f>
        <v/>
      </c>
      <c r="P102" s="26" t="str">
        <f ca="1">IF(OR($R102="",N(K102)=0),"",COUNTIFS(Tabla1[ID Cliente],J102,Tabla1[Tipo de Documento],'Tabla dinamica'!$T$3,Tabla1[Estado de entrega],"Entregado",Tabla1[Estado_vigencia],"Vigente")/K102)</f>
        <v/>
      </c>
      <c r="R10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Row],[Estatus]]=#REF!))&gt;0)),ROWS(R$18:R102)),"")</f>
        <v/>
      </c>
    </row>
    <row r="103" spans="10:18" ht="24.95" customHeight="1">
      <c r="J103" s="24" t="str">
        <f ca="1">IF($R103="","",INDEX(TablaClientes[ID Cliente],$R103)&amp;"")</f>
        <v/>
      </c>
      <c r="K103" s="24" t="str">
        <f ca="1">IF($R103="","",COUNTIFS(Tabla1[ID Cliente],J103,Tabla1[Tipo de Documento],'Tabla dinamica'!$T$3))</f>
        <v/>
      </c>
      <c r="L103" s="24" t="str">
        <f ca="1">IF($R103="","",COUNTIFS(Tabla1[ID Cliente],J103,Tabla1[Tipo de Documento],'Tabla dinamica'!$T$3,Tabla1[Estado de entrega],"Entregado"))</f>
        <v/>
      </c>
      <c r="M103" s="24" t="str">
        <f ca="1">IF($R103="","",COUNTIFS(Tabla1[ID Cliente],J103,Tabla1[Tipo de Documento],'Tabla dinamica'!$T$3,Tabla1[Estado de entrega],"Pendiente"))</f>
        <v/>
      </c>
      <c r="N103" s="24" t="str">
        <f ca="1">IF($R103="","",COUNTIFS(Tabla1[ID Cliente],J103,Tabla1[Tipo de Documento],'Tabla dinamica'!$T$3,Tabla1[Estado_vigencia],"Vencido"))</f>
        <v/>
      </c>
      <c r="O103" s="24" t="str">
        <f ca="1">IF($R103="","",COUNTIFS(Tabla1[ID Cliente],J103,Tabla1[Tipo de Documento],'Tabla dinamica'!$T$3,Tabla1[Estado_vigencia],"Alerta"))</f>
        <v/>
      </c>
      <c r="P103" s="26" t="str">
        <f ca="1">IF(OR($R103="",N(K103)=0),"",COUNTIFS(Tabla1[ID Cliente],J103,Tabla1[Tipo de Documento],'Tabla dinamica'!$T$3,Tabla1[Estado de entrega],"Entregado",Tabla1[Estado_vigencia],"Vigente")/K103)</f>
        <v/>
      </c>
      <c r="R10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Row],[Estatus]]=#REF!))&gt;0)),ROWS(R$18:R103)),"")</f>
        <v/>
      </c>
    </row>
    <row r="104" spans="10:18" ht="24.95" customHeight="1">
      <c r="J104" s="24" t="str">
        <f ca="1">IF($R104="","",INDEX(TablaClientes[ID Cliente],$R104)&amp;"")</f>
        <v/>
      </c>
      <c r="K104" s="24" t="str">
        <f ca="1">IF($R104="","",COUNTIFS(Tabla1[ID Cliente],J104,Tabla1[Tipo de Documento],'Tabla dinamica'!$T$3))</f>
        <v/>
      </c>
      <c r="L104" s="24" t="str">
        <f ca="1">IF($R104="","",COUNTIFS(Tabla1[ID Cliente],J104,Tabla1[Tipo de Documento],'Tabla dinamica'!$T$3,Tabla1[Estado de entrega],"Entregado"))</f>
        <v/>
      </c>
      <c r="M104" s="24" t="str">
        <f ca="1">IF($R104="","",COUNTIFS(Tabla1[ID Cliente],J104,Tabla1[Tipo de Documento],'Tabla dinamica'!$T$3,Tabla1[Estado de entrega],"Pendiente"))</f>
        <v/>
      </c>
      <c r="N104" s="24" t="str">
        <f ca="1">IF($R104="","",COUNTIFS(Tabla1[ID Cliente],J104,Tabla1[Tipo de Documento],'Tabla dinamica'!$T$3,Tabla1[Estado_vigencia],"Vencido"))</f>
        <v/>
      </c>
      <c r="O104" s="24" t="str">
        <f ca="1">IF($R104="","",COUNTIFS(Tabla1[ID Cliente],J104,Tabla1[Tipo de Documento],'Tabla dinamica'!$T$3,Tabla1[Estado_vigencia],"Alerta"))</f>
        <v/>
      </c>
      <c r="P104" s="26" t="str">
        <f ca="1">IF(OR($R104="",N(K104)=0),"",COUNTIFS(Tabla1[ID Cliente],J104,Tabla1[Tipo de Documento],'Tabla dinamica'!$T$3,Tabla1[Estado de entrega],"Entregado",Tabla1[Estado_vigencia],"Vigente")/K104)</f>
        <v/>
      </c>
      <c r="R10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Row],[Estatus]]=#REF!))&gt;0)),ROWS(R$18:R104)),"")</f>
        <v/>
      </c>
    </row>
    <row r="105" spans="10:18" ht="24.95" customHeight="1">
      <c r="J105" s="24" t="str">
        <f ca="1">IF($R105="","",INDEX(TablaClientes[ID Cliente],$R105)&amp;"")</f>
        <v/>
      </c>
      <c r="K105" s="24" t="str">
        <f ca="1">IF($R105="","",COUNTIFS(Tabla1[ID Cliente],J105,Tabla1[Tipo de Documento],'Tabla dinamica'!$T$3))</f>
        <v/>
      </c>
      <c r="L105" s="24" t="str">
        <f ca="1">IF($R105="","",COUNTIFS(Tabla1[ID Cliente],J105,Tabla1[Tipo de Documento],'Tabla dinamica'!$T$3,Tabla1[Estado de entrega],"Entregado"))</f>
        <v/>
      </c>
      <c r="M105" s="24" t="str">
        <f ca="1">IF($R105="","",COUNTIFS(Tabla1[ID Cliente],J105,Tabla1[Tipo de Documento],'Tabla dinamica'!$T$3,Tabla1[Estado de entrega],"Pendiente"))</f>
        <v/>
      </c>
      <c r="N105" s="24" t="str">
        <f ca="1">IF($R105="","",COUNTIFS(Tabla1[ID Cliente],J105,Tabla1[Tipo de Documento],'Tabla dinamica'!$T$3,Tabla1[Estado_vigencia],"Vencido"))</f>
        <v/>
      </c>
      <c r="O105" s="24" t="str">
        <f ca="1">IF($R105="","",COUNTIFS(Tabla1[ID Cliente],J105,Tabla1[Tipo de Documento],'Tabla dinamica'!$T$3,Tabla1[Estado_vigencia],"Alerta"))</f>
        <v/>
      </c>
      <c r="P105" s="26" t="str">
        <f ca="1">IF(OR($R105="",N(K105)=0),"",COUNTIFS(Tabla1[ID Cliente],J105,Tabla1[Tipo de Documento],'Tabla dinamica'!$T$3,Tabla1[Estado de entrega],"Entregado",Tabla1[Estado_vigencia],"Vigente")/K105)</f>
        <v/>
      </c>
      <c r="R10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Row],[Estatus]]=#REF!))&gt;0)),ROWS(R$18:R105)),"")</f>
        <v/>
      </c>
    </row>
    <row r="106" spans="10:18" ht="24.95" customHeight="1">
      <c r="J106" s="24" t="str">
        <f ca="1">IF($R106="","",INDEX(TablaClientes[ID Cliente],$R106)&amp;"")</f>
        <v/>
      </c>
      <c r="K106" s="24" t="str">
        <f ca="1">IF($R106="","",COUNTIFS(Tabla1[ID Cliente],J106,Tabla1[Tipo de Documento],'Tabla dinamica'!$T$3))</f>
        <v/>
      </c>
      <c r="L106" s="24" t="str">
        <f ca="1">IF($R106="","",COUNTIFS(Tabla1[ID Cliente],J106,Tabla1[Tipo de Documento],'Tabla dinamica'!$T$3,Tabla1[Estado de entrega],"Entregado"))</f>
        <v/>
      </c>
      <c r="M106" s="24" t="str">
        <f ca="1">IF($R106="","",COUNTIFS(Tabla1[ID Cliente],J106,Tabla1[Tipo de Documento],'Tabla dinamica'!$T$3,Tabla1[Estado de entrega],"Pendiente"))</f>
        <v/>
      </c>
      <c r="N106" s="24" t="str">
        <f ca="1">IF($R106="","",COUNTIFS(Tabla1[ID Cliente],J106,Tabla1[Tipo de Documento],'Tabla dinamica'!$T$3,Tabla1[Estado_vigencia],"Vencido"))</f>
        <v/>
      </c>
      <c r="O106" s="24" t="str">
        <f ca="1">IF($R106="","",COUNTIFS(Tabla1[ID Cliente],J106,Tabla1[Tipo de Documento],'Tabla dinamica'!$T$3,Tabla1[Estado_vigencia],"Alerta"))</f>
        <v/>
      </c>
      <c r="P106" s="26" t="str">
        <f ca="1">IF(OR($R106="",N(K106)=0),"",COUNTIFS(Tabla1[ID Cliente],J106,Tabla1[Tipo de Documento],'Tabla dinamica'!$T$3,Tabla1[Estado de entrega],"Entregado",Tabla1[Estado_vigencia],"Vigente")/K106)</f>
        <v/>
      </c>
      <c r="R10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Row],[Estatus]]=#REF!))&gt;0)),ROWS(R$18:R106)),"")</f>
        <v/>
      </c>
    </row>
    <row r="107" spans="10:18" ht="24.95" customHeight="1">
      <c r="J107" s="24" t="str">
        <f ca="1">IF($R107="","",INDEX(TablaClientes[ID Cliente],$R107)&amp;"")</f>
        <v/>
      </c>
      <c r="K107" s="24" t="str">
        <f ca="1">IF($R107="","",COUNTIFS(Tabla1[ID Cliente],J107,Tabla1[Tipo de Documento],'Tabla dinamica'!$T$3))</f>
        <v/>
      </c>
      <c r="L107" s="24" t="str">
        <f ca="1">IF($R107="","",COUNTIFS(Tabla1[ID Cliente],J107,Tabla1[Tipo de Documento],'Tabla dinamica'!$T$3,Tabla1[Estado de entrega],"Entregado"))</f>
        <v/>
      </c>
      <c r="M107" s="24" t="str">
        <f ca="1">IF($R107="","",COUNTIFS(Tabla1[ID Cliente],J107,Tabla1[Tipo de Documento],'Tabla dinamica'!$T$3,Tabla1[Estado de entrega],"Pendiente"))</f>
        <v/>
      </c>
      <c r="N107" s="24" t="str">
        <f ca="1">IF($R107="","",COUNTIFS(Tabla1[ID Cliente],J107,Tabla1[Tipo de Documento],'Tabla dinamica'!$T$3,Tabla1[Estado_vigencia],"Vencido"))</f>
        <v/>
      </c>
      <c r="O107" s="24" t="str">
        <f ca="1">IF($R107="","",COUNTIFS(Tabla1[ID Cliente],J107,Tabla1[Tipo de Documento],'Tabla dinamica'!$T$3,Tabla1[Estado_vigencia],"Alerta"))</f>
        <v/>
      </c>
      <c r="P107" s="26" t="str">
        <f ca="1">IF(OR($R107="",N(K107)=0),"",COUNTIFS(Tabla1[ID Cliente],J107,Tabla1[Tipo de Documento],'Tabla dinamica'!$T$3,Tabla1[Estado de entrega],"Entregado",Tabla1[Estado_vigencia],"Vigente")/K107)</f>
        <v/>
      </c>
      <c r="R10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Row],[Estatus]]=#REF!))&gt;0)),ROWS(R$18:R107)),"")</f>
        <v/>
      </c>
    </row>
    <row r="108" spans="10:18" ht="24.95" customHeight="1">
      <c r="J108" s="24" t="str">
        <f ca="1">IF($R108="","",INDEX(TablaClientes[ID Cliente],$R108)&amp;"")</f>
        <v/>
      </c>
      <c r="K108" s="24" t="str">
        <f ca="1">IF($R108="","",COUNTIFS(Tabla1[ID Cliente],J108,Tabla1[Tipo de Documento],'Tabla dinamica'!$T$3))</f>
        <v/>
      </c>
      <c r="L108" s="24" t="str">
        <f ca="1">IF($R108="","",COUNTIFS(Tabla1[ID Cliente],J108,Tabla1[Tipo de Documento],'Tabla dinamica'!$T$3,Tabla1[Estado de entrega],"Entregado"))</f>
        <v/>
      </c>
      <c r="M108" s="24" t="str">
        <f ca="1">IF($R108="","",COUNTIFS(Tabla1[ID Cliente],J108,Tabla1[Tipo de Documento],'Tabla dinamica'!$T$3,Tabla1[Estado de entrega],"Pendiente"))</f>
        <v/>
      </c>
      <c r="N108" s="24" t="str">
        <f ca="1">IF($R108="","",COUNTIFS(Tabla1[ID Cliente],J108,Tabla1[Tipo de Documento],'Tabla dinamica'!$T$3,Tabla1[Estado_vigencia],"Vencido"))</f>
        <v/>
      </c>
      <c r="O108" s="24" t="str">
        <f ca="1">IF($R108="","",COUNTIFS(Tabla1[ID Cliente],J108,Tabla1[Tipo de Documento],'Tabla dinamica'!$T$3,Tabla1[Estado_vigencia],"Alerta"))</f>
        <v/>
      </c>
      <c r="P108" s="26" t="str">
        <f ca="1">IF(OR($R108="",N(K108)=0),"",COUNTIFS(Tabla1[ID Cliente],J108,Tabla1[Tipo de Documento],'Tabla dinamica'!$T$3,Tabla1[Estado de entrega],"Entregado",Tabla1[Estado_vigencia],"Vigente")/K108)</f>
        <v/>
      </c>
      <c r="R10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Row],[Estatus]]=#REF!))&gt;0)),ROWS(R$18:R108)),"")</f>
        <v/>
      </c>
    </row>
    <row r="109" spans="10:18" ht="24.95" customHeight="1">
      <c r="J109" s="24" t="str">
        <f ca="1">IF($R109="","",INDEX(TablaClientes[ID Cliente],$R109)&amp;"")</f>
        <v/>
      </c>
      <c r="K109" s="24" t="str">
        <f ca="1">IF($R109="","",COUNTIFS(Tabla1[ID Cliente],J109,Tabla1[Tipo de Documento],'Tabla dinamica'!$T$3))</f>
        <v/>
      </c>
      <c r="L109" s="24" t="str">
        <f ca="1">IF($R109="","",COUNTIFS(Tabla1[ID Cliente],J109,Tabla1[Tipo de Documento],'Tabla dinamica'!$T$3,Tabla1[Estado de entrega],"Entregado"))</f>
        <v/>
      </c>
      <c r="M109" s="24" t="str">
        <f ca="1">IF($R109="","",COUNTIFS(Tabla1[ID Cliente],J109,Tabla1[Tipo de Documento],'Tabla dinamica'!$T$3,Tabla1[Estado de entrega],"Pendiente"))</f>
        <v/>
      </c>
      <c r="N109" s="24" t="str">
        <f ca="1">IF($R109="","",COUNTIFS(Tabla1[ID Cliente],J109,Tabla1[Tipo de Documento],'Tabla dinamica'!$T$3,Tabla1[Estado_vigencia],"Vencido"))</f>
        <v/>
      </c>
      <c r="O109" s="24" t="str">
        <f ca="1">IF($R109="","",COUNTIFS(Tabla1[ID Cliente],J109,Tabla1[Tipo de Documento],'Tabla dinamica'!$T$3,Tabla1[Estado_vigencia],"Alerta"))</f>
        <v/>
      </c>
      <c r="P109" s="26" t="str">
        <f ca="1">IF(OR($R109="",N(K109)=0),"",COUNTIFS(Tabla1[ID Cliente],J109,Tabla1[Tipo de Documento],'Tabla dinamica'!$T$3,Tabla1[Estado de entrega],"Entregado",Tabla1[Estado_vigencia],"Vigente")/K109)</f>
        <v/>
      </c>
      <c r="R10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Row],[Estatus]]=#REF!))&gt;0)),ROWS(R$18:R109)),"")</f>
        <v/>
      </c>
    </row>
    <row r="110" spans="10:18" ht="24.95" customHeight="1">
      <c r="J110" s="24" t="str">
        <f ca="1">IF($R110="","",INDEX(TablaClientes[ID Cliente],$R110)&amp;"")</f>
        <v/>
      </c>
      <c r="K110" s="24" t="str">
        <f ca="1">IF($R110="","",COUNTIFS(Tabla1[ID Cliente],J110,Tabla1[Tipo de Documento],'Tabla dinamica'!$T$3))</f>
        <v/>
      </c>
      <c r="L110" s="24" t="str">
        <f ca="1">IF($R110="","",COUNTIFS(Tabla1[ID Cliente],J110,Tabla1[Tipo de Documento],'Tabla dinamica'!$T$3,Tabla1[Estado de entrega],"Entregado"))</f>
        <v/>
      </c>
      <c r="M110" s="24" t="str">
        <f ca="1">IF($R110="","",COUNTIFS(Tabla1[ID Cliente],J110,Tabla1[Tipo de Documento],'Tabla dinamica'!$T$3,Tabla1[Estado de entrega],"Pendiente"))</f>
        <v/>
      </c>
      <c r="N110" s="24" t="str">
        <f ca="1">IF($R110="","",COUNTIFS(Tabla1[ID Cliente],J110,Tabla1[Tipo de Documento],'Tabla dinamica'!$T$3,Tabla1[Estado_vigencia],"Vencido"))</f>
        <v/>
      </c>
      <c r="O110" s="24" t="str">
        <f ca="1">IF($R110="","",COUNTIFS(Tabla1[ID Cliente],J110,Tabla1[Tipo de Documento],'Tabla dinamica'!$T$3,Tabla1[Estado_vigencia],"Alerta"))</f>
        <v/>
      </c>
      <c r="P110" s="26" t="str">
        <f ca="1">IF(OR($R110="",N(K110)=0),"",COUNTIFS(Tabla1[ID Cliente],J110,Tabla1[Tipo de Documento],'Tabla dinamica'!$T$3,Tabla1[Estado de entrega],"Entregado",Tabla1[Estado_vigencia],"Vigente")/K110)</f>
        <v/>
      </c>
      <c r="R11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Row],[Estatus]]=#REF!))&gt;0)),ROWS(R$18:R110)),"")</f>
        <v/>
      </c>
    </row>
    <row r="111" spans="10:18" ht="24.95" customHeight="1">
      <c r="J111" s="24" t="str">
        <f ca="1">IF($R111="","",INDEX(TablaClientes[ID Cliente],$R111)&amp;"")</f>
        <v/>
      </c>
      <c r="K111" s="24" t="str">
        <f ca="1">IF($R111="","",COUNTIFS(Tabla1[ID Cliente],J111,Tabla1[Tipo de Documento],'Tabla dinamica'!$T$3))</f>
        <v/>
      </c>
      <c r="L111" s="24" t="str">
        <f ca="1">IF($R111="","",COUNTIFS(Tabla1[ID Cliente],J111,Tabla1[Tipo de Documento],'Tabla dinamica'!$T$3,Tabla1[Estado de entrega],"Entregado"))</f>
        <v/>
      </c>
      <c r="M111" s="24" t="str">
        <f ca="1">IF($R111="","",COUNTIFS(Tabla1[ID Cliente],J111,Tabla1[Tipo de Documento],'Tabla dinamica'!$T$3,Tabla1[Estado de entrega],"Pendiente"))</f>
        <v/>
      </c>
      <c r="N111" s="24" t="str">
        <f ca="1">IF($R111="","",COUNTIFS(Tabla1[ID Cliente],J111,Tabla1[Tipo de Documento],'Tabla dinamica'!$T$3,Tabla1[Estado_vigencia],"Vencido"))</f>
        <v/>
      </c>
      <c r="O111" s="24" t="str">
        <f ca="1">IF($R111="","",COUNTIFS(Tabla1[ID Cliente],J111,Tabla1[Tipo de Documento],'Tabla dinamica'!$T$3,Tabla1[Estado_vigencia],"Alerta"))</f>
        <v/>
      </c>
      <c r="P111" s="26" t="str">
        <f ca="1">IF(OR($R111="",N(K111)=0),"",COUNTIFS(Tabla1[ID Cliente],J111,Tabla1[Tipo de Documento],'Tabla dinamica'!$T$3,Tabla1[Estado de entrega],"Entregado",Tabla1[Estado_vigencia],"Vigente")/K111)</f>
        <v/>
      </c>
      <c r="R11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Row],[Estatus]]=#REF!))&gt;0)),ROWS(R$18:R111)),"")</f>
        <v/>
      </c>
    </row>
    <row r="112" spans="10:18" ht="24.95" customHeight="1">
      <c r="J112" s="24" t="str">
        <f ca="1">IF($R112="","",INDEX(TablaClientes[ID Cliente],$R112)&amp;"")</f>
        <v/>
      </c>
      <c r="K112" s="24" t="str">
        <f ca="1">IF($R112="","",COUNTIFS(Tabla1[ID Cliente],J112,Tabla1[Tipo de Documento],'Tabla dinamica'!$T$3))</f>
        <v/>
      </c>
      <c r="L112" s="24" t="str">
        <f ca="1">IF($R112="","",COUNTIFS(Tabla1[ID Cliente],J112,Tabla1[Tipo de Documento],'Tabla dinamica'!$T$3,Tabla1[Estado de entrega],"Entregado"))</f>
        <v/>
      </c>
      <c r="M112" s="24" t="str">
        <f ca="1">IF($R112="","",COUNTIFS(Tabla1[ID Cliente],J112,Tabla1[Tipo de Documento],'Tabla dinamica'!$T$3,Tabla1[Estado de entrega],"Pendiente"))</f>
        <v/>
      </c>
      <c r="N112" s="24" t="str">
        <f ca="1">IF($R112="","",COUNTIFS(Tabla1[ID Cliente],J112,Tabla1[Tipo de Documento],'Tabla dinamica'!$T$3,Tabla1[Estado_vigencia],"Vencido"))</f>
        <v/>
      </c>
      <c r="O112" s="24" t="str">
        <f ca="1">IF($R112="","",COUNTIFS(Tabla1[ID Cliente],J112,Tabla1[Tipo de Documento],'Tabla dinamica'!$T$3,Tabla1[Estado_vigencia],"Alerta"))</f>
        <v/>
      </c>
      <c r="P112" s="26" t="str">
        <f ca="1">IF(OR($R112="",N(K112)=0),"",COUNTIFS(Tabla1[ID Cliente],J112,Tabla1[Tipo de Documento],'Tabla dinamica'!$T$3,Tabla1[Estado de entrega],"Entregado",Tabla1[Estado_vigencia],"Vigente")/K112)</f>
        <v/>
      </c>
      <c r="R11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Row],[Estatus]]=#REF!))&gt;0)),ROWS(R$18:R112)),"")</f>
        <v/>
      </c>
    </row>
    <row r="113" spans="10:18" ht="24.95" customHeight="1">
      <c r="J113" s="24" t="str">
        <f ca="1">IF($R113="","",INDEX(TablaClientes[ID Cliente],$R113)&amp;"")</f>
        <v/>
      </c>
      <c r="K113" s="24" t="str">
        <f ca="1">IF($R113="","",COUNTIFS(Tabla1[ID Cliente],J113,Tabla1[Tipo de Documento],'Tabla dinamica'!$T$3))</f>
        <v/>
      </c>
      <c r="L113" s="24" t="str">
        <f ca="1">IF($R113="","",COUNTIFS(Tabla1[ID Cliente],J113,Tabla1[Tipo de Documento],'Tabla dinamica'!$T$3,Tabla1[Estado de entrega],"Entregado"))</f>
        <v/>
      </c>
      <c r="M113" s="24" t="str">
        <f ca="1">IF($R113="","",COUNTIFS(Tabla1[ID Cliente],J113,Tabla1[Tipo de Documento],'Tabla dinamica'!$T$3,Tabla1[Estado de entrega],"Pendiente"))</f>
        <v/>
      </c>
      <c r="N113" s="24" t="str">
        <f ca="1">IF($R113="","",COUNTIFS(Tabla1[ID Cliente],J113,Tabla1[Tipo de Documento],'Tabla dinamica'!$T$3,Tabla1[Estado_vigencia],"Vencido"))</f>
        <v/>
      </c>
      <c r="O113" s="24" t="str">
        <f ca="1">IF($R113="","",COUNTIFS(Tabla1[ID Cliente],J113,Tabla1[Tipo de Documento],'Tabla dinamica'!$T$3,Tabla1[Estado_vigencia],"Alerta"))</f>
        <v/>
      </c>
      <c r="P113" s="26" t="str">
        <f ca="1">IF(OR($R113="",N(K113)=0),"",COUNTIFS(Tabla1[ID Cliente],J113,Tabla1[Tipo de Documento],'Tabla dinamica'!$T$3,Tabla1[Estado de entrega],"Entregado",Tabla1[Estado_vigencia],"Vigente")/K113)</f>
        <v/>
      </c>
      <c r="R11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Row],[Estatus]]=#REF!))&gt;0)),ROWS(R$18:R113)),"")</f>
        <v/>
      </c>
    </row>
    <row r="114" spans="10:18" ht="24.95" customHeight="1">
      <c r="J114" s="24" t="str">
        <f ca="1">IF($R114="","",INDEX(TablaClientes[ID Cliente],$R114)&amp;"")</f>
        <v/>
      </c>
      <c r="K114" s="24" t="str">
        <f ca="1">IF($R114="","",COUNTIFS(Tabla1[ID Cliente],J114,Tabla1[Tipo de Documento],'Tabla dinamica'!$T$3))</f>
        <v/>
      </c>
      <c r="L114" s="24" t="str">
        <f ca="1">IF($R114="","",COUNTIFS(Tabla1[ID Cliente],J114,Tabla1[Tipo de Documento],'Tabla dinamica'!$T$3,Tabla1[Estado de entrega],"Entregado"))</f>
        <v/>
      </c>
      <c r="M114" s="24" t="str">
        <f ca="1">IF($R114="","",COUNTIFS(Tabla1[ID Cliente],J114,Tabla1[Tipo de Documento],'Tabla dinamica'!$T$3,Tabla1[Estado de entrega],"Pendiente"))</f>
        <v/>
      </c>
      <c r="N114" s="24" t="str">
        <f ca="1">IF($R114="","",COUNTIFS(Tabla1[ID Cliente],J114,Tabla1[Tipo de Documento],'Tabla dinamica'!$T$3,Tabla1[Estado_vigencia],"Vencido"))</f>
        <v/>
      </c>
      <c r="O114" s="24" t="str">
        <f ca="1">IF($R114="","",COUNTIFS(Tabla1[ID Cliente],J114,Tabla1[Tipo de Documento],'Tabla dinamica'!$T$3,Tabla1[Estado_vigencia],"Alerta"))</f>
        <v/>
      </c>
      <c r="P114" s="26" t="str">
        <f ca="1">IF(OR($R114="",N(K114)=0),"",COUNTIFS(Tabla1[ID Cliente],J114,Tabla1[Tipo de Documento],'Tabla dinamica'!$T$3,Tabla1[Estado de entrega],"Entregado",Tabla1[Estado_vigencia],"Vigente")/K114)</f>
        <v/>
      </c>
      <c r="R11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Row],[Estatus]]=#REF!))&gt;0)),ROWS(R$18:R114)),"")</f>
        <v/>
      </c>
    </row>
    <row r="115" spans="10:18" ht="24.95" customHeight="1">
      <c r="J115" s="24" t="str">
        <f ca="1">IF($R115="","",INDEX(TablaClientes[ID Cliente],$R115)&amp;"")</f>
        <v/>
      </c>
      <c r="K115" s="24" t="str">
        <f ca="1">IF($R115="","",COUNTIFS(Tabla1[ID Cliente],J115,Tabla1[Tipo de Documento],'Tabla dinamica'!$T$3))</f>
        <v/>
      </c>
      <c r="L115" s="24" t="str">
        <f ca="1">IF($R115="","",COUNTIFS(Tabla1[ID Cliente],J115,Tabla1[Tipo de Documento],'Tabla dinamica'!$T$3,Tabla1[Estado de entrega],"Entregado"))</f>
        <v/>
      </c>
      <c r="M115" s="24" t="str">
        <f ca="1">IF($R115="","",COUNTIFS(Tabla1[ID Cliente],J115,Tabla1[Tipo de Documento],'Tabla dinamica'!$T$3,Tabla1[Estado de entrega],"Pendiente"))</f>
        <v/>
      </c>
      <c r="N115" s="24" t="str">
        <f ca="1">IF($R115="","",COUNTIFS(Tabla1[ID Cliente],J115,Tabla1[Tipo de Documento],'Tabla dinamica'!$T$3,Tabla1[Estado_vigencia],"Vencido"))</f>
        <v/>
      </c>
      <c r="O115" s="24" t="str">
        <f ca="1">IF($R115="","",COUNTIFS(Tabla1[ID Cliente],J115,Tabla1[Tipo de Documento],'Tabla dinamica'!$T$3,Tabla1[Estado_vigencia],"Alerta"))</f>
        <v/>
      </c>
      <c r="P115" s="26" t="str">
        <f ca="1">IF(OR($R115="",N(K115)=0),"",COUNTIFS(Tabla1[ID Cliente],J115,Tabla1[Tipo de Documento],'Tabla dinamica'!$T$3,Tabla1[Estado de entrega],"Entregado",Tabla1[Estado_vigencia],"Vigente")/K115)</f>
        <v/>
      </c>
      <c r="R11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Row],[Estatus]]=#REF!))&gt;0)),ROWS(R$18:R115)),"")</f>
        <v/>
      </c>
    </row>
    <row r="116" spans="10:18" ht="24.95" customHeight="1">
      <c r="J116" s="24" t="str">
        <f ca="1">IF($R116="","",INDEX(TablaClientes[ID Cliente],$R116)&amp;"")</f>
        <v/>
      </c>
      <c r="K116" s="24" t="str">
        <f ca="1">IF($R116="","",COUNTIFS(Tabla1[ID Cliente],J116,Tabla1[Tipo de Documento],'Tabla dinamica'!$T$3))</f>
        <v/>
      </c>
      <c r="L116" s="24" t="str">
        <f ca="1">IF($R116="","",COUNTIFS(Tabla1[ID Cliente],J116,Tabla1[Tipo de Documento],'Tabla dinamica'!$T$3,Tabla1[Estado de entrega],"Entregado"))</f>
        <v/>
      </c>
      <c r="M116" s="24" t="str">
        <f ca="1">IF($R116="","",COUNTIFS(Tabla1[ID Cliente],J116,Tabla1[Tipo de Documento],'Tabla dinamica'!$T$3,Tabla1[Estado de entrega],"Pendiente"))</f>
        <v/>
      </c>
      <c r="N116" s="24" t="str">
        <f ca="1">IF($R116="","",COUNTIFS(Tabla1[ID Cliente],J116,Tabla1[Tipo de Documento],'Tabla dinamica'!$T$3,Tabla1[Estado_vigencia],"Vencido"))</f>
        <v/>
      </c>
      <c r="O116" s="24" t="str">
        <f ca="1">IF($R116="","",COUNTIFS(Tabla1[ID Cliente],J116,Tabla1[Tipo de Documento],'Tabla dinamica'!$T$3,Tabla1[Estado_vigencia],"Alerta"))</f>
        <v/>
      </c>
      <c r="P116" s="26" t="str">
        <f ca="1">IF(OR($R116="",N(K116)=0),"",COUNTIFS(Tabla1[ID Cliente],J116,Tabla1[Tipo de Documento],'Tabla dinamica'!$T$3,Tabla1[Estado de entrega],"Entregado",Tabla1[Estado_vigencia],"Vigente")/K116)</f>
        <v/>
      </c>
      <c r="R11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Row],[Estatus]]=#REF!))&gt;0)),ROWS(R$18:R116)),"")</f>
        <v/>
      </c>
    </row>
    <row r="117" spans="10:18" ht="24.95" customHeight="1">
      <c r="J117" s="24" t="str">
        <f ca="1">IF($R117="","",INDEX(TablaClientes[ID Cliente],$R117)&amp;"")</f>
        <v/>
      </c>
      <c r="K117" s="24" t="str">
        <f ca="1">IF($R117="","",COUNTIFS(Tabla1[ID Cliente],J117,Tabla1[Tipo de Documento],'Tabla dinamica'!$T$3))</f>
        <v/>
      </c>
      <c r="L117" s="24" t="str">
        <f ca="1">IF($R117="","",COUNTIFS(Tabla1[ID Cliente],J117,Tabla1[Tipo de Documento],'Tabla dinamica'!$T$3,Tabla1[Estado de entrega],"Entregado"))</f>
        <v/>
      </c>
      <c r="M117" s="24" t="str">
        <f ca="1">IF($R117="","",COUNTIFS(Tabla1[ID Cliente],J117,Tabla1[Tipo de Documento],'Tabla dinamica'!$T$3,Tabla1[Estado de entrega],"Pendiente"))</f>
        <v/>
      </c>
      <c r="N117" s="24" t="str">
        <f ca="1">IF($R117="","",COUNTIFS(Tabla1[ID Cliente],J117,Tabla1[Tipo de Documento],'Tabla dinamica'!$T$3,Tabla1[Estado_vigencia],"Vencido"))</f>
        <v/>
      </c>
      <c r="O117" s="24" t="str">
        <f ca="1">IF($R117="","",COUNTIFS(Tabla1[ID Cliente],J117,Tabla1[Tipo de Documento],'Tabla dinamica'!$T$3,Tabla1[Estado_vigencia],"Alerta"))</f>
        <v/>
      </c>
      <c r="P117" s="26" t="str">
        <f ca="1">IF(OR($R117="",N(K117)=0),"",COUNTIFS(Tabla1[ID Cliente],J117,Tabla1[Tipo de Documento],'Tabla dinamica'!$T$3,Tabla1[Estado de entrega],"Entregado",Tabla1[Estado_vigencia],"Vigente")/K117)</f>
        <v/>
      </c>
      <c r="R11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Row],[Estatus]]=#REF!))&gt;0)),ROWS(R$18:R117)),"")</f>
        <v/>
      </c>
    </row>
    <row r="118" spans="10:18" ht="24.95" customHeight="1">
      <c r="J118" s="24" t="str">
        <f ca="1">IF($R118="","",INDEX(TablaClientes[ID Cliente],$R118)&amp;"")</f>
        <v/>
      </c>
      <c r="K118" s="24" t="str">
        <f ca="1">IF($R118="","",COUNTIFS(Tabla1[ID Cliente],J118,Tabla1[Tipo de Documento],'Tabla dinamica'!$T$3))</f>
        <v/>
      </c>
      <c r="L118" s="24" t="str">
        <f ca="1">IF($R118="","",COUNTIFS(Tabla1[ID Cliente],J118,Tabla1[Tipo de Documento],'Tabla dinamica'!$T$3,Tabla1[Estado de entrega],"Entregado"))</f>
        <v/>
      </c>
      <c r="M118" s="24" t="str">
        <f ca="1">IF($R118="","",COUNTIFS(Tabla1[ID Cliente],J118,Tabla1[Tipo de Documento],'Tabla dinamica'!$T$3,Tabla1[Estado de entrega],"Pendiente"))</f>
        <v/>
      </c>
      <c r="N118" s="24" t="str">
        <f ca="1">IF($R118="","",COUNTIFS(Tabla1[ID Cliente],J118,Tabla1[Tipo de Documento],'Tabla dinamica'!$T$3,Tabla1[Estado_vigencia],"Vencido"))</f>
        <v/>
      </c>
      <c r="O118" s="24" t="str">
        <f ca="1">IF($R118="","",COUNTIFS(Tabla1[ID Cliente],J118,Tabla1[Tipo de Documento],'Tabla dinamica'!$T$3,Tabla1[Estado_vigencia],"Alerta"))</f>
        <v/>
      </c>
      <c r="P118" s="26" t="str">
        <f ca="1">IF(OR($R118="",N(K118)=0),"",COUNTIFS(Tabla1[ID Cliente],J118,Tabla1[Tipo de Documento],'Tabla dinamica'!$T$3,Tabla1[Estado de entrega],"Entregado",Tabla1[Estado_vigencia],"Vigente")/K118)</f>
        <v/>
      </c>
      <c r="R11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Row],[Estatus]]=#REF!))&gt;0)),ROWS(R$18:R118)),"")</f>
        <v/>
      </c>
    </row>
    <row r="119" spans="10:18" ht="24.95" customHeight="1">
      <c r="J119" s="24" t="str">
        <f ca="1">IF($R119="","",INDEX(TablaClientes[ID Cliente],$R119)&amp;"")</f>
        <v/>
      </c>
      <c r="K119" s="24" t="str">
        <f ca="1">IF($R119="","",COUNTIFS(Tabla1[ID Cliente],J119,Tabla1[Tipo de Documento],'Tabla dinamica'!$T$3))</f>
        <v/>
      </c>
      <c r="L119" s="24" t="str">
        <f ca="1">IF($R119="","",COUNTIFS(Tabla1[ID Cliente],J119,Tabla1[Tipo de Documento],'Tabla dinamica'!$T$3,Tabla1[Estado de entrega],"Entregado"))</f>
        <v/>
      </c>
      <c r="M119" s="24" t="str">
        <f ca="1">IF($R119="","",COUNTIFS(Tabla1[ID Cliente],J119,Tabla1[Tipo de Documento],'Tabla dinamica'!$T$3,Tabla1[Estado de entrega],"Pendiente"))</f>
        <v/>
      </c>
      <c r="N119" s="24" t="str">
        <f ca="1">IF($R119="","",COUNTIFS(Tabla1[ID Cliente],J119,Tabla1[Tipo de Documento],'Tabla dinamica'!$T$3,Tabla1[Estado_vigencia],"Vencido"))</f>
        <v/>
      </c>
      <c r="O119" s="24" t="str">
        <f ca="1">IF($R119="","",COUNTIFS(Tabla1[ID Cliente],J119,Tabla1[Tipo de Documento],'Tabla dinamica'!$T$3,Tabla1[Estado_vigencia],"Alerta"))</f>
        <v/>
      </c>
      <c r="P119" s="26" t="str">
        <f ca="1">IF(OR($R119="",N(K119)=0),"",COUNTIFS(Tabla1[ID Cliente],J119,Tabla1[Tipo de Documento],'Tabla dinamica'!$T$3,Tabla1[Estado de entrega],"Entregado",Tabla1[Estado_vigencia],"Vigente")/K119)</f>
        <v/>
      </c>
      <c r="R11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Row],[Estatus]]=#REF!))&gt;0)),ROWS(R$18:R119)),"")</f>
        <v/>
      </c>
    </row>
    <row r="120" spans="10:18" ht="24.95" customHeight="1">
      <c r="J120" s="24" t="str">
        <f ca="1">IF($R120="","",INDEX(TablaClientes[ID Cliente],$R120)&amp;"")</f>
        <v/>
      </c>
      <c r="K120" s="24" t="str">
        <f ca="1">IF($R120="","",COUNTIFS(Tabla1[ID Cliente],J120,Tabla1[Tipo de Documento],'Tabla dinamica'!$T$3))</f>
        <v/>
      </c>
      <c r="L120" s="24" t="str">
        <f ca="1">IF($R120="","",COUNTIFS(Tabla1[ID Cliente],J120,Tabla1[Tipo de Documento],'Tabla dinamica'!$T$3,Tabla1[Estado de entrega],"Entregado"))</f>
        <v/>
      </c>
      <c r="M120" s="24" t="str">
        <f ca="1">IF($R120="","",COUNTIFS(Tabla1[ID Cliente],J120,Tabla1[Tipo de Documento],'Tabla dinamica'!$T$3,Tabla1[Estado de entrega],"Pendiente"))</f>
        <v/>
      </c>
      <c r="N120" s="24" t="str">
        <f ca="1">IF($R120="","",COUNTIFS(Tabla1[ID Cliente],J120,Tabla1[Tipo de Documento],'Tabla dinamica'!$T$3,Tabla1[Estado_vigencia],"Vencido"))</f>
        <v/>
      </c>
      <c r="O120" s="24" t="str">
        <f ca="1">IF($R120="","",COUNTIFS(Tabla1[ID Cliente],J120,Tabla1[Tipo de Documento],'Tabla dinamica'!$T$3,Tabla1[Estado_vigencia],"Alerta"))</f>
        <v/>
      </c>
      <c r="P120" s="26" t="str">
        <f ca="1">IF(OR($R120="",N(K120)=0),"",COUNTIFS(Tabla1[ID Cliente],J120,Tabla1[Tipo de Documento],'Tabla dinamica'!$T$3,Tabla1[Estado de entrega],"Entregado",Tabla1[Estado_vigencia],"Vigente")/K120)</f>
        <v/>
      </c>
      <c r="R12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Row],[Estatus]]=#REF!))&gt;0)),ROWS(R$18:R120)),"")</f>
        <v/>
      </c>
    </row>
    <row r="121" spans="10:18" ht="24.95" customHeight="1">
      <c r="J121" s="24" t="str">
        <f ca="1">IF($R121="","",INDEX(TablaClientes[ID Cliente],$R121)&amp;"")</f>
        <v/>
      </c>
      <c r="K121" s="24" t="str">
        <f ca="1">IF($R121="","",COUNTIFS(Tabla1[ID Cliente],J121,Tabla1[Tipo de Documento],'Tabla dinamica'!$T$3))</f>
        <v/>
      </c>
      <c r="L121" s="24" t="str">
        <f ca="1">IF($R121="","",COUNTIFS(Tabla1[ID Cliente],J121,Tabla1[Tipo de Documento],'Tabla dinamica'!$T$3,Tabla1[Estado de entrega],"Entregado"))</f>
        <v/>
      </c>
      <c r="M121" s="24" t="str">
        <f ca="1">IF($R121="","",COUNTIFS(Tabla1[ID Cliente],J121,Tabla1[Tipo de Documento],'Tabla dinamica'!$T$3,Tabla1[Estado de entrega],"Pendiente"))</f>
        <v/>
      </c>
      <c r="N121" s="24" t="str">
        <f ca="1">IF($R121="","",COUNTIFS(Tabla1[ID Cliente],J121,Tabla1[Tipo de Documento],'Tabla dinamica'!$T$3,Tabla1[Estado_vigencia],"Vencido"))</f>
        <v/>
      </c>
      <c r="O121" s="24" t="str">
        <f ca="1">IF($R121="","",COUNTIFS(Tabla1[ID Cliente],J121,Tabla1[Tipo de Documento],'Tabla dinamica'!$T$3,Tabla1[Estado_vigencia],"Alerta"))</f>
        <v/>
      </c>
      <c r="P121" s="26" t="str">
        <f ca="1">IF(OR($R121="",N(K121)=0),"",COUNTIFS(Tabla1[ID Cliente],J121,Tabla1[Tipo de Documento],'Tabla dinamica'!$T$3,Tabla1[Estado de entrega],"Entregado",Tabla1[Estado_vigencia],"Vigente")/K121)</f>
        <v/>
      </c>
      <c r="R12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Row],[Estatus]]=#REF!))&gt;0)),ROWS(R$18:R121)),"")</f>
        <v/>
      </c>
    </row>
    <row r="122" spans="10:18" ht="24.95" customHeight="1">
      <c r="J122" s="24" t="str">
        <f ca="1">IF($R122="","",INDEX(TablaClientes[ID Cliente],$R122)&amp;"")</f>
        <v/>
      </c>
      <c r="K122" s="24" t="str">
        <f ca="1">IF($R122="","",COUNTIFS(Tabla1[ID Cliente],J122,Tabla1[Tipo de Documento],'Tabla dinamica'!$T$3))</f>
        <v/>
      </c>
      <c r="L122" s="24" t="str">
        <f ca="1">IF($R122="","",COUNTIFS(Tabla1[ID Cliente],J122,Tabla1[Tipo de Documento],'Tabla dinamica'!$T$3,Tabla1[Estado de entrega],"Entregado"))</f>
        <v/>
      </c>
      <c r="M122" s="24" t="str">
        <f ca="1">IF($R122="","",COUNTIFS(Tabla1[ID Cliente],J122,Tabla1[Tipo de Documento],'Tabla dinamica'!$T$3,Tabla1[Estado de entrega],"Pendiente"))</f>
        <v/>
      </c>
      <c r="N122" s="24" t="str">
        <f ca="1">IF($R122="","",COUNTIFS(Tabla1[ID Cliente],J122,Tabla1[Tipo de Documento],'Tabla dinamica'!$T$3,Tabla1[Estado_vigencia],"Vencido"))</f>
        <v/>
      </c>
      <c r="O122" s="24" t="str">
        <f ca="1">IF($R122="","",COUNTIFS(Tabla1[ID Cliente],J122,Tabla1[Tipo de Documento],'Tabla dinamica'!$T$3,Tabla1[Estado_vigencia],"Alerta"))</f>
        <v/>
      </c>
      <c r="P122" s="26" t="str">
        <f ca="1">IF(OR($R122="",N(K122)=0),"",COUNTIFS(Tabla1[ID Cliente],J122,Tabla1[Tipo de Documento],'Tabla dinamica'!$T$3,Tabla1[Estado de entrega],"Entregado",Tabla1[Estado_vigencia],"Vigente")/K122)</f>
        <v/>
      </c>
      <c r="R12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Row],[Estatus]]=#REF!))&gt;0)),ROWS(R$18:R122)),"")</f>
        <v/>
      </c>
    </row>
    <row r="123" spans="10:18" ht="24.95" customHeight="1">
      <c r="J123" s="24" t="str">
        <f ca="1">IF($R123="","",INDEX(TablaClientes[ID Cliente],$R123)&amp;"")</f>
        <v/>
      </c>
      <c r="K123" s="24" t="str">
        <f ca="1">IF($R123="","",COUNTIFS(Tabla1[ID Cliente],J123,Tabla1[Tipo de Documento],'Tabla dinamica'!$T$3))</f>
        <v/>
      </c>
      <c r="L123" s="24" t="str">
        <f ca="1">IF($R123="","",COUNTIFS(Tabla1[ID Cliente],J123,Tabla1[Tipo de Documento],'Tabla dinamica'!$T$3,Tabla1[Estado de entrega],"Entregado"))</f>
        <v/>
      </c>
      <c r="M123" s="24" t="str">
        <f ca="1">IF($R123="","",COUNTIFS(Tabla1[ID Cliente],J123,Tabla1[Tipo de Documento],'Tabla dinamica'!$T$3,Tabla1[Estado de entrega],"Pendiente"))</f>
        <v/>
      </c>
      <c r="N123" s="24" t="str">
        <f ca="1">IF($R123="","",COUNTIFS(Tabla1[ID Cliente],J123,Tabla1[Tipo de Documento],'Tabla dinamica'!$T$3,Tabla1[Estado_vigencia],"Vencido"))</f>
        <v/>
      </c>
      <c r="O123" s="24" t="str">
        <f ca="1">IF($R123="","",COUNTIFS(Tabla1[ID Cliente],J123,Tabla1[Tipo de Documento],'Tabla dinamica'!$T$3,Tabla1[Estado_vigencia],"Alerta"))</f>
        <v/>
      </c>
      <c r="P123" s="26" t="str">
        <f ca="1">IF(OR($R123="",N(K123)=0),"",COUNTIFS(Tabla1[ID Cliente],J123,Tabla1[Tipo de Documento],'Tabla dinamica'!$T$3,Tabla1[Estado de entrega],"Entregado",Tabla1[Estado_vigencia],"Vigente")/K123)</f>
        <v/>
      </c>
      <c r="R12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Row],[Estatus]]=#REF!))&gt;0)),ROWS(R$18:R123)),"")</f>
        <v/>
      </c>
    </row>
    <row r="124" spans="10:18" ht="24.95" customHeight="1">
      <c r="J124" s="24" t="str">
        <f ca="1">IF($R124="","",INDEX(TablaClientes[ID Cliente],$R124)&amp;"")</f>
        <v/>
      </c>
      <c r="K124" s="24" t="str">
        <f ca="1">IF($R124="","",COUNTIFS(Tabla1[ID Cliente],J124,Tabla1[Tipo de Documento],'Tabla dinamica'!$T$3))</f>
        <v/>
      </c>
      <c r="L124" s="24" t="str">
        <f ca="1">IF($R124="","",COUNTIFS(Tabla1[ID Cliente],J124,Tabla1[Tipo de Documento],'Tabla dinamica'!$T$3,Tabla1[Estado de entrega],"Entregado"))</f>
        <v/>
      </c>
      <c r="M124" s="24" t="str">
        <f ca="1">IF($R124="","",COUNTIFS(Tabla1[ID Cliente],J124,Tabla1[Tipo de Documento],'Tabla dinamica'!$T$3,Tabla1[Estado de entrega],"Pendiente"))</f>
        <v/>
      </c>
      <c r="N124" s="24" t="str">
        <f ca="1">IF($R124="","",COUNTIFS(Tabla1[ID Cliente],J124,Tabla1[Tipo de Documento],'Tabla dinamica'!$T$3,Tabla1[Estado_vigencia],"Vencido"))</f>
        <v/>
      </c>
      <c r="O124" s="24" t="str">
        <f ca="1">IF($R124="","",COUNTIFS(Tabla1[ID Cliente],J124,Tabla1[Tipo de Documento],'Tabla dinamica'!$T$3,Tabla1[Estado_vigencia],"Alerta"))</f>
        <v/>
      </c>
      <c r="P124" s="26" t="str">
        <f ca="1">IF(OR($R124="",N(K124)=0),"",COUNTIFS(Tabla1[ID Cliente],J124,Tabla1[Tipo de Documento],'Tabla dinamica'!$T$3,Tabla1[Estado de entrega],"Entregado",Tabla1[Estado_vigencia],"Vigente")/K124)</f>
        <v/>
      </c>
      <c r="R12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Row],[Estatus]]=#REF!))&gt;0)),ROWS(R$18:R124)),"")</f>
        <v/>
      </c>
    </row>
    <row r="125" spans="10:18" ht="24.95" customHeight="1">
      <c r="J125" s="24" t="str">
        <f ca="1">IF($R125="","",INDEX(TablaClientes[ID Cliente],$R125)&amp;"")</f>
        <v/>
      </c>
      <c r="K125" s="24" t="str">
        <f ca="1">IF($R125="","",COUNTIFS(Tabla1[ID Cliente],J125,Tabla1[Tipo de Documento],'Tabla dinamica'!$T$3))</f>
        <v/>
      </c>
      <c r="L125" s="24" t="str">
        <f ca="1">IF($R125="","",COUNTIFS(Tabla1[ID Cliente],J125,Tabla1[Tipo de Documento],'Tabla dinamica'!$T$3,Tabla1[Estado de entrega],"Entregado"))</f>
        <v/>
      </c>
      <c r="M125" s="24" t="str">
        <f ca="1">IF($R125="","",COUNTIFS(Tabla1[ID Cliente],J125,Tabla1[Tipo de Documento],'Tabla dinamica'!$T$3,Tabla1[Estado de entrega],"Pendiente"))</f>
        <v/>
      </c>
      <c r="N125" s="24" t="str">
        <f ca="1">IF($R125="","",COUNTIFS(Tabla1[ID Cliente],J125,Tabla1[Tipo de Documento],'Tabla dinamica'!$T$3,Tabla1[Estado_vigencia],"Vencido"))</f>
        <v/>
      </c>
      <c r="O125" s="24" t="str">
        <f ca="1">IF($R125="","",COUNTIFS(Tabla1[ID Cliente],J125,Tabla1[Tipo de Documento],'Tabla dinamica'!$T$3,Tabla1[Estado_vigencia],"Alerta"))</f>
        <v/>
      </c>
      <c r="P125" s="26" t="str">
        <f ca="1">IF(OR($R125="",N(K125)=0),"",COUNTIFS(Tabla1[ID Cliente],J125,Tabla1[Tipo de Documento],'Tabla dinamica'!$T$3,Tabla1[Estado de entrega],"Entregado",Tabla1[Estado_vigencia],"Vigente")/K125)</f>
        <v/>
      </c>
      <c r="R12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Row],[Estatus]]=#REF!))&gt;0)),ROWS(R$18:R125)),"")</f>
        <v/>
      </c>
    </row>
    <row r="126" spans="10:18" ht="24.95" customHeight="1">
      <c r="J126" s="24" t="str">
        <f ca="1">IF($R126="","",INDEX(TablaClientes[ID Cliente],$R126)&amp;"")</f>
        <v/>
      </c>
      <c r="K126" s="24" t="str">
        <f ca="1">IF($R126="","",COUNTIFS(Tabla1[ID Cliente],J126,Tabla1[Tipo de Documento],'Tabla dinamica'!$T$3))</f>
        <v/>
      </c>
      <c r="L126" s="24" t="str">
        <f ca="1">IF($R126="","",COUNTIFS(Tabla1[ID Cliente],J126,Tabla1[Tipo de Documento],'Tabla dinamica'!$T$3,Tabla1[Estado de entrega],"Entregado"))</f>
        <v/>
      </c>
      <c r="M126" s="24" t="str">
        <f ca="1">IF($R126="","",COUNTIFS(Tabla1[ID Cliente],J126,Tabla1[Tipo de Documento],'Tabla dinamica'!$T$3,Tabla1[Estado de entrega],"Pendiente"))</f>
        <v/>
      </c>
      <c r="N126" s="24" t="str">
        <f ca="1">IF($R126="","",COUNTIFS(Tabla1[ID Cliente],J126,Tabla1[Tipo de Documento],'Tabla dinamica'!$T$3,Tabla1[Estado_vigencia],"Vencido"))</f>
        <v/>
      </c>
      <c r="O126" s="24" t="str">
        <f ca="1">IF($R126="","",COUNTIFS(Tabla1[ID Cliente],J126,Tabla1[Tipo de Documento],'Tabla dinamica'!$T$3,Tabla1[Estado_vigencia],"Alerta"))</f>
        <v/>
      </c>
      <c r="P126" s="26" t="str">
        <f ca="1">IF(OR($R126="",N(K126)=0),"",COUNTIFS(Tabla1[ID Cliente],J126,Tabla1[Tipo de Documento],'Tabla dinamica'!$T$3,Tabla1[Estado de entrega],"Entregado",Tabla1[Estado_vigencia],"Vigente")/K126)</f>
        <v/>
      </c>
      <c r="R12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Row],[Estatus]]=#REF!))&gt;0)),ROWS(R$18:R126)),"")</f>
        <v/>
      </c>
    </row>
    <row r="127" spans="10:18" ht="24.95" customHeight="1">
      <c r="J127" s="24" t="str">
        <f ca="1">IF($R127="","",INDEX(TablaClientes[ID Cliente],$R127)&amp;"")</f>
        <v/>
      </c>
      <c r="K127" s="24" t="str">
        <f ca="1">IF($R127="","",COUNTIFS(Tabla1[ID Cliente],J127,Tabla1[Tipo de Documento],'Tabla dinamica'!$T$3))</f>
        <v/>
      </c>
      <c r="L127" s="24" t="str">
        <f ca="1">IF($R127="","",COUNTIFS(Tabla1[ID Cliente],J127,Tabla1[Tipo de Documento],'Tabla dinamica'!$T$3,Tabla1[Estado de entrega],"Entregado"))</f>
        <v/>
      </c>
      <c r="M127" s="24" t="str">
        <f ca="1">IF($R127="","",COUNTIFS(Tabla1[ID Cliente],J127,Tabla1[Tipo de Documento],'Tabla dinamica'!$T$3,Tabla1[Estado de entrega],"Pendiente"))</f>
        <v/>
      </c>
      <c r="N127" s="24" t="str">
        <f ca="1">IF($R127="","",COUNTIFS(Tabla1[ID Cliente],J127,Tabla1[Tipo de Documento],'Tabla dinamica'!$T$3,Tabla1[Estado_vigencia],"Vencido"))</f>
        <v/>
      </c>
      <c r="O127" s="24" t="str">
        <f ca="1">IF($R127="","",COUNTIFS(Tabla1[ID Cliente],J127,Tabla1[Tipo de Documento],'Tabla dinamica'!$T$3,Tabla1[Estado_vigencia],"Alerta"))</f>
        <v/>
      </c>
      <c r="P127" s="26" t="str">
        <f ca="1">IF(OR($R127="",N(K127)=0),"",COUNTIFS(Tabla1[ID Cliente],J127,Tabla1[Tipo de Documento],'Tabla dinamica'!$T$3,Tabla1[Estado de entrega],"Entregado",Tabla1[Estado_vigencia],"Vigente")/K127)</f>
        <v/>
      </c>
      <c r="R12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Row],[Estatus]]=#REF!))&gt;0)),ROWS(R$18:R127)),"")</f>
        <v/>
      </c>
    </row>
    <row r="128" spans="10:18" ht="24.95" customHeight="1">
      <c r="J128" s="24" t="str">
        <f ca="1">IF($R128="","",INDEX(TablaClientes[ID Cliente],$R128)&amp;"")</f>
        <v/>
      </c>
      <c r="K128" s="24" t="str">
        <f ca="1">IF($R128="","",COUNTIFS(Tabla1[ID Cliente],J128,Tabla1[Tipo de Documento],'Tabla dinamica'!$T$3))</f>
        <v/>
      </c>
      <c r="L128" s="24" t="str">
        <f ca="1">IF($R128="","",COUNTIFS(Tabla1[ID Cliente],J128,Tabla1[Tipo de Documento],'Tabla dinamica'!$T$3,Tabla1[Estado de entrega],"Entregado"))</f>
        <v/>
      </c>
      <c r="M128" s="24" t="str">
        <f ca="1">IF($R128="","",COUNTIFS(Tabla1[ID Cliente],J128,Tabla1[Tipo de Documento],'Tabla dinamica'!$T$3,Tabla1[Estado de entrega],"Pendiente"))</f>
        <v/>
      </c>
      <c r="N128" s="24" t="str">
        <f ca="1">IF($R128="","",COUNTIFS(Tabla1[ID Cliente],J128,Tabla1[Tipo de Documento],'Tabla dinamica'!$T$3,Tabla1[Estado_vigencia],"Vencido"))</f>
        <v/>
      </c>
      <c r="O128" s="24" t="str">
        <f ca="1">IF($R128="","",COUNTIFS(Tabla1[ID Cliente],J128,Tabla1[Tipo de Documento],'Tabla dinamica'!$T$3,Tabla1[Estado_vigencia],"Alerta"))</f>
        <v/>
      </c>
      <c r="P128" s="26" t="str">
        <f ca="1">IF(OR($R128="",N(K128)=0),"",COUNTIFS(Tabla1[ID Cliente],J128,Tabla1[Tipo de Documento],'Tabla dinamica'!$T$3,Tabla1[Estado de entrega],"Entregado",Tabla1[Estado_vigencia],"Vigente")/K128)</f>
        <v/>
      </c>
      <c r="R12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Row],[Estatus]]=#REF!))&gt;0)),ROWS(R$18:R128)),"")</f>
        <v/>
      </c>
    </row>
    <row r="129" spans="10:18" ht="24.95" customHeight="1">
      <c r="J129" s="24" t="str">
        <f ca="1">IF($R129="","",INDEX(TablaClientes[ID Cliente],$R129)&amp;"")</f>
        <v/>
      </c>
      <c r="K129" s="24" t="str">
        <f ca="1">IF($R129="","",COUNTIFS(Tabla1[ID Cliente],J129,Tabla1[Tipo de Documento],'Tabla dinamica'!$T$3))</f>
        <v/>
      </c>
      <c r="L129" s="24" t="str">
        <f ca="1">IF($R129="","",COUNTIFS(Tabla1[ID Cliente],J129,Tabla1[Tipo de Documento],'Tabla dinamica'!$T$3,Tabla1[Estado de entrega],"Entregado"))</f>
        <v/>
      </c>
      <c r="M129" s="24" t="str">
        <f ca="1">IF($R129="","",COUNTIFS(Tabla1[ID Cliente],J129,Tabla1[Tipo de Documento],'Tabla dinamica'!$T$3,Tabla1[Estado de entrega],"Pendiente"))</f>
        <v/>
      </c>
      <c r="N129" s="24" t="str">
        <f ca="1">IF($R129="","",COUNTIFS(Tabla1[ID Cliente],J129,Tabla1[Tipo de Documento],'Tabla dinamica'!$T$3,Tabla1[Estado_vigencia],"Vencido"))</f>
        <v/>
      </c>
      <c r="O129" s="24" t="str">
        <f ca="1">IF($R129="","",COUNTIFS(Tabla1[ID Cliente],J129,Tabla1[Tipo de Documento],'Tabla dinamica'!$T$3,Tabla1[Estado_vigencia],"Alerta"))</f>
        <v/>
      </c>
      <c r="P129" s="26" t="str">
        <f ca="1">IF(OR($R129="",N(K129)=0),"",COUNTIFS(Tabla1[ID Cliente],J129,Tabla1[Tipo de Documento],'Tabla dinamica'!$T$3,Tabla1[Estado de entrega],"Entregado",Tabla1[Estado_vigencia],"Vigente")/K129)</f>
        <v/>
      </c>
      <c r="R12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Row],[Estatus]]=#REF!))&gt;0)),ROWS(R$18:R129)),"")</f>
        <v/>
      </c>
    </row>
    <row r="130" spans="10:18" ht="24.95" customHeight="1">
      <c r="J130" s="24" t="str">
        <f ca="1">IF($R130="","",INDEX(TablaClientes[ID Cliente],$R130)&amp;"")</f>
        <v/>
      </c>
      <c r="K130" s="24" t="str">
        <f ca="1">IF($R130="","",COUNTIFS(Tabla1[ID Cliente],J130,Tabla1[Tipo de Documento],'Tabla dinamica'!$T$3))</f>
        <v/>
      </c>
      <c r="L130" s="24" t="str">
        <f ca="1">IF($R130="","",COUNTIFS(Tabla1[ID Cliente],J130,Tabla1[Tipo de Documento],'Tabla dinamica'!$T$3,Tabla1[Estado de entrega],"Entregado"))</f>
        <v/>
      </c>
      <c r="M130" s="24" t="str">
        <f ca="1">IF($R130="","",COUNTIFS(Tabla1[ID Cliente],J130,Tabla1[Tipo de Documento],'Tabla dinamica'!$T$3,Tabla1[Estado de entrega],"Pendiente"))</f>
        <v/>
      </c>
      <c r="N130" s="24" t="str">
        <f ca="1">IF($R130="","",COUNTIFS(Tabla1[ID Cliente],J130,Tabla1[Tipo de Documento],'Tabla dinamica'!$T$3,Tabla1[Estado_vigencia],"Vencido"))</f>
        <v/>
      </c>
      <c r="O130" s="24" t="str">
        <f ca="1">IF($R130="","",COUNTIFS(Tabla1[ID Cliente],J130,Tabla1[Tipo de Documento],'Tabla dinamica'!$T$3,Tabla1[Estado_vigencia],"Alerta"))</f>
        <v/>
      </c>
      <c r="P130" s="26" t="str">
        <f ca="1">IF(OR($R130="",N(K130)=0),"",COUNTIFS(Tabla1[ID Cliente],J130,Tabla1[Tipo de Documento],'Tabla dinamica'!$T$3,Tabla1[Estado de entrega],"Entregado",Tabla1[Estado_vigencia],"Vigente")/K130)</f>
        <v/>
      </c>
      <c r="R13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Row],[Estatus]]=#REF!))&gt;0)),ROWS(R$18:R130)),"")</f>
        <v/>
      </c>
    </row>
    <row r="131" spans="10:18" ht="24.95" customHeight="1">
      <c r="J131" s="24" t="str">
        <f ca="1">IF($R131="","",INDEX(TablaClientes[ID Cliente],$R131)&amp;"")</f>
        <v/>
      </c>
      <c r="K131" s="24" t="str">
        <f ca="1">IF($R131="","",COUNTIFS(Tabla1[ID Cliente],J131,Tabla1[Tipo de Documento],'Tabla dinamica'!$T$3))</f>
        <v/>
      </c>
      <c r="L131" s="24" t="str">
        <f ca="1">IF($R131="","",COUNTIFS(Tabla1[ID Cliente],J131,Tabla1[Tipo de Documento],'Tabla dinamica'!$T$3,Tabla1[Estado de entrega],"Entregado"))</f>
        <v/>
      </c>
      <c r="M131" s="24" t="str">
        <f ca="1">IF($R131="","",COUNTIFS(Tabla1[ID Cliente],J131,Tabla1[Tipo de Documento],'Tabla dinamica'!$T$3,Tabla1[Estado de entrega],"Pendiente"))</f>
        <v/>
      </c>
      <c r="N131" s="24" t="str">
        <f ca="1">IF($R131="","",COUNTIFS(Tabla1[ID Cliente],J131,Tabla1[Tipo de Documento],'Tabla dinamica'!$T$3,Tabla1[Estado_vigencia],"Vencido"))</f>
        <v/>
      </c>
      <c r="O131" s="24" t="str">
        <f ca="1">IF($R131="","",COUNTIFS(Tabla1[ID Cliente],J131,Tabla1[Tipo de Documento],'Tabla dinamica'!$T$3,Tabla1[Estado_vigencia],"Alerta"))</f>
        <v/>
      </c>
      <c r="P131" s="26" t="str">
        <f ca="1">IF(OR($R131="",N(K131)=0),"",COUNTIFS(Tabla1[ID Cliente],J131,Tabla1[Tipo de Documento],'Tabla dinamica'!$T$3,Tabla1[Estado de entrega],"Entregado",Tabla1[Estado_vigencia],"Vigente")/K131)</f>
        <v/>
      </c>
      <c r="R13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Row],[Estatus]]=#REF!))&gt;0)),ROWS(R$18:R131)),"")</f>
        <v/>
      </c>
    </row>
    <row r="132" spans="10:18" ht="24.95" customHeight="1">
      <c r="J132" s="24" t="str">
        <f ca="1">IF($R132="","",INDEX(TablaClientes[ID Cliente],$R132)&amp;"")</f>
        <v/>
      </c>
      <c r="K132" s="24" t="str">
        <f ca="1">IF($R132="","",COUNTIFS(Tabla1[ID Cliente],J132,Tabla1[Tipo de Documento],'Tabla dinamica'!$T$3))</f>
        <v/>
      </c>
      <c r="L132" s="24" t="str">
        <f ca="1">IF($R132="","",COUNTIFS(Tabla1[ID Cliente],J132,Tabla1[Tipo de Documento],'Tabla dinamica'!$T$3,Tabla1[Estado de entrega],"Entregado"))</f>
        <v/>
      </c>
      <c r="M132" s="24" t="str">
        <f ca="1">IF($R132="","",COUNTIFS(Tabla1[ID Cliente],J132,Tabla1[Tipo de Documento],'Tabla dinamica'!$T$3,Tabla1[Estado de entrega],"Pendiente"))</f>
        <v/>
      </c>
      <c r="N132" s="24" t="str">
        <f ca="1">IF($R132="","",COUNTIFS(Tabla1[ID Cliente],J132,Tabla1[Tipo de Documento],'Tabla dinamica'!$T$3,Tabla1[Estado_vigencia],"Vencido"))</f>
        <v/>
      </c>
      <c r="O132" s="24" t="str">
        <f ca="1">IF($R132="","",COUNTIFS(Tabla1[ID Cliente],J132,Tabla1[Tipo de Documento],'Tabla dinamica'!$T$3,Tabla1[Estado_vigencia],"Alerta"))</f>
        <v/>
      </c>
      <c r="P132" s="26" t="str">
        <f ca="1">IF(OR($R132="",N(K132)=0),"",COUNTIFS(Tabla1[ID Cliente],J132,Tabla1[Tipo de Documento],'Tabla dinamica'!$T$3,Tabla1[Estado de entrega],"Entregado",Tabla1[Estado_vigencia],"Vigente")/K132)</f>
        <v/>
      </c>
      <c r="R13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Row],[Estatus]]=#REF!))&gt;0)),ROWS(R$18:R132)),"")</f>
        <v/>
      </c>
    </row>
    <row r="133" spans="10:18" ht="24.95" customHeight="1">
      <c r="J133" s="24" t="str">
        <f ca="1">IF($R133="","",INDEX(TablaClientes[ID Cliente],$R133)&amp;"")</f>
        <v/>
      </c>
      <c r="K133" s="24" t="str">
        <f ca="1">IF($R133="","",COUNTIFS(Tabla1[ID Cliente],J133,Tabla1[Tipo de Documento],'Tabla dinamica'!$T$3))</f>
        <v/>
      </c>
      <c r="L133" s="24" t="str">
        <f ca="1">IF($R133="","",COUNTIFS(Tabla1[ID Cliente],J133,Tabla1[Tipo de Documento],'Tabla dinamica'!$T$3,Tabla1[Estado de entrega],"Entregado"))</f>
        <v/>
      </c>
      <c r="M133" s="24" t="str">
        <f ca="1">IF($R133="","",COUNTIFS(Tabla1[ID Cliente],J133,Tabla1[Tipo de Documento],'Tabla dinamica'!$T$3,Tabla1[Estado de entrega],"Pendiente"))</f>
        <v/>
      </c>
      <c r="N133" s="24" t="str">
        <f ca="1">IF($R133="","",COUNTIFS(Tabla1[ID Cliente],J133,Tabla1[Tipo de Documento],'Tabla dinamica'!$T$3,Tabla1[Estado_vigencia],"Vencido"))</f>
        <v/>
      </c>
      <c r="O133" s="24" t="str">
        <f ca="1">IF($R133="","",COUNTIFS(Tabla1[ID Cliente],J133,Tabla1[Tipo de Documento],'Tabla dinamica'!$T$3,Tabla1[Estado_vigencia],"Alerta"))</f>
        <v/>
      </c>
      <c r="P133" s="26" t="str">
        <f ca="1">IF(OR($R133="",N(K133)=0),"",COUNTIFS(Tabla1[ID Cliente],J133,Tabla1[Tipo de Documento],'Tabla dinamica'!$T$3,Tabla1[Estado de entrega],"Entregado",Tabla1[Estado_vigencia],"Vigente")/K133)</f>
        <v/>
      </c>
      <c r="R13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Row],[Estatus]]=#REF!))&gt;0)),ROWS(R$18:R133)),"")</f>
        <v/>
      </c>
    </row>
    <row r="134" spans="10:18" ht="24.95" customHeight="1">
      <c r="J134" s="24" t="str">
        <f ca="1">IF($R134="","",INDEX(TablaClientes[ID Cliente],$R134)&amp;"")</f>
        <v/>
      </c>
      <c r="K134" s="24" t="str">
        <f ca="1">IF($R134="","",COUNTIFS(Tabla1[ID Cliente],J134,Tabla1[Tipo de Documento],'Tabla dinamica'!$T$3))</f>
        <v/>
      </c>
      <c r="L134" s="24" t="str">
        <f ca="1">IF($R134="","",COUNTIFS(Tabla1[ID Cliente],J134,Tabla1[Tipo de Documento],'Tabla dinamica'!$T$3,Tabla1[Estado de entrega],"Entregado"))</f>
        <v/>
      </c>
      <c r="M134" s="24" t="str">
        <f ca="1">IF($R134="","",COUNTIFS(Tabla1[ID Cliente],J134,Tabla1[Tipo de Documento],'Tabla dinamica'!$T$3,Tabla1[Estado de entrega],"Pendiente"))</f>
        <v/>
      </c>
      <c r="N134" s="24" t="str">
        <f ca="1">IF($R134="","",COUNTIFS(Tabla1[ID Cliente],J134,Tabla1[Tipo de Documento],'Tabla dinamica'!$T$3,Tabla1[Estado_vigencia],"Vencido"))</f>
        <v/>
      </c>
      <c r="O134" s="24" t="str">
        <f ca="1">IF($R134="","",COUNTIFS(Tabla1[ID Cliente],J134,Tabla1[Tipo de Documento],'Tabla dinamica'!$T$3,Tabla1[Estado_vigencia],"Alerta"))</f>
        <v/>
      </c>
      <c r="P134" s="26" t="str">
        <f ca="1">IF(OR($R134="",N(K134)=0),"",COUNTIFS(Tabla1[ID Cliente],J134,Tabla1[Tipo de Documento],'Tabla dinamica'!$T$3,Tabla1[Estado de entrega],"Entregado",Tabla1[Estado_vigencia],"Vigente")/K134)</f>
        <v/>
      </c>
      <c r="R13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Row],[Estatus]]=#REF!))&gt;0)),ROWS(R$18:R134)),"")</f>
        <v/>
      </c>
    </row>
    <row r="135" spans="10:18" ht="24.95" customHeight="1">
      <c r="J135" s="24" t="str">
        <f ca="1">IF($R135="","",INDEX(TablaClientes[ID Cliente],$R135)&amp;"")</f>
        <v/>
      </c>
      <c r="K135" s="24" t="str">
        <f ca="1">IF($R135="","",COUNTIFS(Tabla1[ID Cliente],J135,Tabla1[Tipo de Documento],'Tabla dinamica'!$T$3))</f>
        <v/>
      </c>
      <c r="L135" s="24" t="str">
        <f ca="1">IF($R135="","",COUNTIFS(Tabla1[ID Cliente],J135,Tabla1[Tipo de Documento],'Tabla dinamica'!$T$3,Tabla1[Estado de entrega],"Entregado"))</f>
        <v/>
      </c>
      <c r="M135" s="24" t="str">
        <f ca="1">IF($R135="","",COUNTIFS(Tabla1[ID Cliente],J135,Tabla1[Tipo de Documento],'Tabla dinamica'!$T$3,Tabla1[Estado de entrega],"Pendiente"))</f>
        <v/>
      </c>
      <c r="N135" s="24" t="str">
        <f ca="1">IF($R135="","",COUNTIFS(Tabla1[ID Cliente],J135,Tabla1[Tipo de Documento],'Tabla dinamica'!$T$3,Tabla1[Estado_vigencia],"Vencido"))</f>
        <v/>
      </c>
      <c r="O135" s="24" t="str">
        <f ca="1">IF($R135="","",COUNTIFS(Tabla1[ID Cliente],J135,Tabla1[Tipo de Documento],'Tabla dinamica'!$T$3,Tabla1[Estado_vigencia],"Alerta"))</f>
        <v/>
      </c>
      <c r="P135" s="26" t="str">
        <f ca="1">IF(OR($R135="",N(K135)=0),"",COUNTIFS(Tabla1[ID Cliente],J135,Tabla1[Tipo de Documento],'Tabla dinamica'!$T$3,Tabla1[Estado de entrega],"Entregado",Tabla1[Estado_vigencia],"Vigente")/K135)</f>
        <v/>
      </c>
      <c r="R13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Row],[Estatus]]=#REF!))&gt;0)),ROWS(R$18:R135)),"")</f>
        <v/>
      </c>
    </row>
    <row r="136" spans="10:18" ht="24.95" customHeight="1">
      <c r="J136" s="24" t="str">
        <f ca="1">IF($R136="","",INDEX(TablaClientes[ID Cliente],$R136)&amp;"")</f>
        <v/>
      </c>
      <c r="K136" s="24" t="str">
        <f ca="1">IF($R136="","",COUNTIFS(Tabla1[ID Cliente],J136,Tabla1[Tipo de Documento],'Tabla dinamica'!$T$3))</f>
        <v/>
      </c>
      <c r="L136" s="24" t="str">
        <f ca="1">IF($R136="","",COUNTIFS(Tabla1[ID Cliente],J136,Tabla1[Tipo de Documento],'Tabla dinamica'!$T$3,Tabla1[Estado de entrega],"Entregado"))</f>
        <v/>
      </c>
      <c r="M136" s="24" t="str">
        <f ca="1">IF($R136="","",COUNTIFS(Tabla1[ID Cliente],J136,Tabla1[Tipo de Documento],'Tabla dinamica'!$T$3,Tabla1[Estado de entrega],"Pendiente"))</f>
        <v/>
      </c>
      <c r="N136" s="24" t="str">
        <f ca="1">IF($R136="","",COUNTIFS(Tabla1[ID Cliente],J136,Tabla1[Tipo de Documento],'Tabla dinamica'!$T$3,Tabla1[Estado_vigencia],"Vencido"))</f>
        <v/>
      </c>
      <c r="O136" s="24" t="str">
        <f ca="1">IF($R136="","",COUNTIFS(Tabla1[ID Cliente],J136,Tabla1[Tipo de Documento],'Tabla dinamica'!$T$3,Tabla1[Estado_vigencia],"Alerta"))</f>
        <v/>
      </c>
      <c r="P136" s="26" t="str">
        <f ca="1">IF(OR($R136="",N(K136)=0),"",COUNTIFS(Tabla1[ID Cliente],J136,Tabla1[Tipo de Documento],'Tabla dinamica'!$T$3,Tabla1[Estado de entrega],"Entregado",Tabla1[Estado_vigencia],"Vigente")/K136)</f>
        <v/>
      </c>
      <c r="R13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Row],[Estatus]]=#REF!))&gt;0)),ROWS(R$18:R136)),"")</f>
        <v/>
      </c>
    </row>
    <row r="137" spans="10:18" ht="24.95" customHeight="1">
      <c r="J137" s="24" t="str">
        <f ca="1">IF($R137="","",INDEX(TablaClientes[ID Cliente],$R137)&amp;"")</f>
        <v/>
      </c>
      <c r="K137" s="24" t="str">
        <f ca="1">IF($R137="","",COUNTIFS(Tabla1[ID Cliente],J137,Tabla1[Tipo de Documento],'Tabla dinamica'!$T$3))</f>
        <v/>
      </c>
      <c r="L137" s="24" t="str">
        <f ca="1">IF($R137="","",COUNTIFS(Tabla1[ID Cliente],J137,Tabla1[Tipo de Documento],'Tabla dinamica'!$T$3,Tabla1[Estado de entrega],"Entregado"))</f>
        <v/>
      </c>
      <c r="M137" s="24" t="str">
        <f ca="1">IF($R137="","",COUNTIFS(Tabla1[ID Cliente],J137,Tabla1[Tipo de Documento],'Tabla dinamica'!$T$3,Tabla1[Estado de entrega],"Pendiente"))</f>
        <v/>
      </c>
      <c r="N137" s="24" t="str">
        <f ca="1">IF($R137="","",COUNTIFS(Tabla1[ID Cliente],J137,Tabla1[Tipo de Documento],'Tabla dinamica'!$T$3,Tabla1[Estado_vigencia],"Vencido"))</f>
        <v/>
      </c>
      <c r="O137" s="24" t="str">
        <f ca="1">IF($R137="","",COUNTIFS(Tabla1[ID Cliente],J137,Tabla1[Tipo de Documento],'Tabla dinamica'!$T$3,Tabla1[Estado_vigencia],"Alerta"))</f>
        <v/>
      </c>
      <c r="P137" s="26" t="str">
        <f ca="1">IF(OR($R137="",N(K137)=0),"",COUNTIFS(Tabla1[ID Cliente],J137,Tabla1[Tipo de Documento],'Tabla dinamica'!$T$3,Tabla1[Estado de entrega],"Entregado",Tabla1[Estado_vigencia],"Vigente")/K137)</f>
        <v/>
      </c>
      <c r="R13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Row],[Estatus]]=#REF!))&gt;0)),ROWS(R$18:R137)),"")</f>
        <v/>
      </c>
    </row>
    <row r="138" spans="10:18" ht="24.95" customHeight="1">
      <c r="J138" s="24" t="str">
        <f ca="1">IF($R138="","",INDEX(TablaClientes[ID Cliente],$R138)&amp;"")</f>
        <v/>
      </c>
      <c r="K138" s="24" t="str">
        <f ca="1">IF($R138="","",COUNTIFS(Tabla1[ID Cliente],J138,Tabla1[Tipo de Documento],'Tabla dinamica'!$T$3))</f>
        <v/>
      </c>
      <c r="L138" s="24" t="str">
        <f ca="1">IF($R138="","",COUNTIFS(Tabla1[ID Cliente],J138,Tabla1[Tipo de Documento],'Tabla dinamica'!$T$3,Tabla1[Estado de entrega],"Entregado"))</f>
        <v/>
      </c>
      <c r="M138" s="24" t="str">
        <f ca="1">IF($R138="","",COUNTIFS(Tabla1[ID Cliente],J138,Tabla1[Tipo de Documento],'Tabla dinamica'!$T$3,Tabla1[Estado de entrega],"Pendiente"))</f>
        <v/>
      </c>
      <c r="N138" s="24" t="str">
        <f ca="1">IF($R138="","",COUNTIFS(Tabla1[ID Cliente],J138,Tabla1[Tipo de Documento],'Tabla dinamica'!$T$3,Tabla1[Estado_vigencia],"Vencido"))</f>
        <v/>
      </c>
      <c r="O138" s="24" t="str">
        <f ca="1">IF($R138="","",COUNTIFS(Tabla1[ID Cliente],J138,Tabla1[Tipo de Documento],'Tabla dinamica'!$T$3,Tabla1[Estado_vigencia],"Alerta"))</f>
        <v/>
      </c>
      <c r="P138" s="26" t="str">
        <f ca="1">IF(OR($R138="",N(K138)=0),"",COUNTIFS(Tabla1[ID Cliente],J138,Tabla1[Tipo de Documento],'Tabla dinamica'!$T$3,Tabla1[Estado de entrega],"Entregado",Tabla1[Estado_vigencia],"Vigente")/K138)</f>
        <v/>
      </c>
      <c r="R13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Row],[Estatus]]=#REF!))&gt;0)),ROWS(R$18:R138)),"")</f>
        <v/>
      </c>
    </row>
    <row r="139" spans="10:18" ht="24.95" customHeight="1">
      <c r="J139" s="24" t="str">
        <f ca="1">IF($R139="","",INDEX(TablaClientes[ID Cliente],$R139)&amp;"")</f>
        <v/>
      </c>
      <c r="K139" s="24" t="str">
        <f ca="1">IF($R139="","",COUNTIFS(Tabla1[ID Cliente],J139,Tabla1[Tipo de Documento],'Tabla dinamica'!$T$3))</f>
        <v/>
      </c>
      <c r="L139" s="24" t="str">
        <f ca="1">IF($R139="","",COUNTIFS(Tabla1[ID Cliente],J139,Tabla1[Tipo de Documento],'Tabla dinamica'!$T$3,Tabla1[Estado de entrega],"Entregado"))</f>
        <v/>
      </c>
      <c r="M139" s="24" t="str">
        <f ca="1">IF($R139="","",COUNTIFS(Tabla1[ID Cliente],J139,Tabla1[Tipo de Documento],'Tabla dinamica'!$T$3,Tabla1[Estado de entrega],"Pendiente"))</f>
        <v/>
      </c>
      <c r="N139" s="24" t="str">
        <f ca="1">IF($R139="","",COUNTIFS(Tabla1[ID Cliente],J139,Tabla1[Tipo de Documento],'Tabla dinamica'!$T$3,Tabla1[Estado_vigencia],"Vencido"))</f>
        <v/>
      </c>
      <c r="O139" s="24" t="str">
        <f ca="1">IF($R139="","",COUNTIFS(Tabla1[ID Cliente],J139,Tabla1[Tipo de Documento],'Tabla dinamica'!$T$3,Tabla1[Estado_vigencia],"Alerta"))</f>
        <v/>
      </c>
      <c r="P139" s="26" t="str">
        <f ca="1">IF(OR($R139="",N(K139)=0),"",COUNTIFS(Tabla1[ID Cliente],J139,Tabla1[Tipo de Documento],'Tabla dinamica'!$T$3,Tabla1[Estado de entrega],"Entregado",Tabla1[Estado_vigencia],"Vigente")/K139)</f>
        <v/>
      </c>
      <c r="R13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Row],[Estatus]]=#REF!))&gt;0)),ROWS(R$18:R139)),"")</f>
        <v/>
      </c>
    </row>
    <row r="140" spans="10:18" ht="24.95" customHeight="1">
      <c r="J140" s="24" t="str">
        <f ca="1">IF($R140="","",INDEX(TablaClientes[ID Cliente],$R140)&amp;"")</f>
        <v/>
      </c>
      <c r="K140" s="24" t="str">
        <f ca="1">IF($R140="","",COUNTIFS(Tabla1[ID Cliente],J140,Tabla1[Tipo de Documento],'Tabla dinamica'!$T$3))</f>
        <v/>
      </c>
      <c r="L140" s="24" t="str">
        <f ca="1">IF($R140="","",COUNTIFS(Tabla1[ID Cliente],J140,Tabla1[Tipo de Documento],'Tabla dinamica'!$T$3,Tabla1[Estado de entrega],"Entregado"))</f>
        <v/>
      </c>
      <c r="M140" s="24" t="str">
        <f ca="1">IF($R140="","",COUNTIFS(Tabla1[ID Cliente],J140,Tabla1[Tipo de Documento],'Tabla dinamica'!$T$3,Tabla1[Estado de entrega],"Pendiente"))</f>
        <v/>
      </c>
      <c r="N140" s="24" t="str">
        <f ca="1">IF($R140="","",COUNTIFS(Tabla1[ID Cliente],J140,Tabla1[Tipo de Documento],'Tabla dinamica'!$T$3,Tabla1[Estado_vigencia],"Vencido"))</f>
        <v/>
      </c>
      <c r="O140" s="24" t="str">
        <f ca="1">IF($R140="","",COUNTIFS(Tabla1[ID Cliente],J140,Tabla1[Tipo de Documento],'Tabla dinamica'!$T$3,Tabla1[Estado_vigencia],"Alerta"))</f>
        <v/>
      </c>
      <c r="P140" s="26" t="str">
        <f ca="1">IF(OR($R140="",N(K140)=0),"",COUNTIFS(Tabla1[ID Cliente],J140,Tabla1[Tipo de Documento],'Tabla dinamica'!$T$3,Tabla1[Estado de entrega],"Entregado",Tabla1[Estado_vigencia],"Vigente")/K140)</f>
        <v/>
      </c>
      <c r="R14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Row],[Estatus]]=#REF!))&gt;0)),ROWS(R$18:R140)),"")</f>
        <v/>
      </c>
    </row>
    <row r="141" spans="10:18" ht="24.95" customHeight="1">
      <c r="J141" s="24" t="str">
        <f ca="1">IF($R141="","",INDEX(TablaClientes[ID Cliente],$R141)&amp;"")</f>
        <v/>
      </c>
      <c r="K141" s="24" t="str">
        <f ca="1">IF($R141="","",COUNTIFS(Tabla1[ID Cliente],J141,Tabla1[Tipo de Documento],'Tabla dinamica'!$T$3))</f>
        <v/>
      </c>
      <c r="L141" s="24" t="str">
        <f ca="1">IF($R141="","",COUNTIFS(Tabla1[ID Cliente],J141,Tabla1[Tipo de Documento],'Tabla dinamica'!$T$3,Tabla1[Estado de entrega],"Entregado"))</f>
        <v/>
      </c>
      <c r="M141" s="24" t="str">
        <f ca="1">IF($R141="","",COUNTIFS(Tabla1[ID Cliente],J141,Tabla1[Tipo de Documento],'Tabla dinamica'!$T$3,Tabla1[Estado de entrega],"Pendiente"))</f>
        <v/>
      </c>
      <c r="N141" s="24" t="str">
        <f ca="1">IF($R141="","",COUNTIFS(Tabla1[ID Cliente],J141,Tabla1[Tipo de Documento],'Tabla dinamica'!$T$3,Tabla1[Estado_vigencia],"Vencido"))</f>
        <v/>
      </c>
      <c r="O141" s="24" t="str">
        <f ca="1">IF($R141="","",COUNTIFS(Tabla1[ID Cliente],J141,Tabla1[Tipo de Documento],'Tabla dinamica'!$T$3,Tabla1[Estado_vigencia],"Alerta"))</f>
        <v/>
      </c>
      <c r="P141" s="26" t="str">
        <f ca="1">IF(OR($R141="",N(K141)=0),"",COUNTIFS(Tabla1[ID Cliente],J141,Tabla1[Tipo de Documento],'Tabla dinamica'!$T$3,Tabla1[Estado de entrega],"Entregado",Tabla1[Estado_vigencia],"Vigente")/K141)</f>
        <v/>
      </c>
      <c r="R14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Row],[Estatus]]=#REF!))&gt;0)),ROWS(R$18:R141)),"")</f>
        <v/>
      </c>
    </row>
    <row r="142" spans="10:18" ht="24.95" customHeight="1">
      <c r="J142" s="24" t="str">
        <f ca="1">IF($R142="","",INDEX(TablaClientes[ID Cliente],$R142)&amp;"")</f>
        <v/>
      </c>
      <c r="K142" s="24" t="str">
        <f ca="1">IF($R142="","",COUNTIFS(Tabla1[ID Cliente],J142,Tabla1[Tipo de Documento],'Tabla dinamica'!$T$3))</f>
        <v/>
      </c>
      <c r="L142" s="24" t="str">
        <f ca="1">IF($R142="","",COUNTIFS(Tabla1[ID Cliente],J142,Tabla1[Tipo de Documento],'Tabla dinamica'!$T$3,Tabla1[Estado de entrega],"Entregado"))</f>
        <v/>
      </c>
      <c r="M142" s="24" t="str">
        <f ca="1">IF($R142="","",COUNTIFS(Tabla1[ID Cliente],J142,Tabla1[Tipo de Documento],'Tabla dinamica'!$T$3,Tabla1[Estado de entrega],"Pendiente"))</f>
        <v/>
      </c>
      <c r="N142" s="24" t="str">
        <f ca="1">IF($R142="","",COUNTIFS(Tabla1[ID Cliente],J142,Tabla1[Tipo de Documento],'Tabla dinamica'!$T$3,Tabla1[Estado_vigencia],"Vencido"))</f>
        <v/>
      </c>
      <c r="O142" s="24" t="str">
        <f ca="1">IF($R142="","",COUNTIFS(Tabla1[ID Cliente],J142,Tabla1[Tipo de Documento],'Tabla dinamica'!$T$3,Tabla1[Estado_vigencia],"Alerta"))</f>
        <v/>
      </c>
      <c r="P142" s="26" t="str">
        <f ca="1">IF(OR($R142="",N(K142)=0),"",COUNTIFS(Tabla1[ID Cliente],J142,Tabla1[Tipo de Documento],'Tabla dinamica'!$T$3,Tabla1[Estado de entrega],"Entregado",Tabla1[Estado_vigencia],"Vigente")/K142)</f>
        <v/>
      </c>
      <c r="R14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Row],[Estatus]]=#REF!))&gt;0)),ROWS(R$18:R142)),"")</f>
        <v/>
      </c>
    </row>
    <row r="143" spans="10:18" ht="24.95" customHeight="1">
      <c r="J143" s="24" t="str">
        <f ca="1">IF($R143="","",INDEX(TablaClientes[ID Cliente],$R143)&amp;"")</f>
        <v/>
      </c>
      <c r="K143" s="24" t="str">
        <f ca="1">IF($R143="","",COUNTIFS(Tabla1[ID Cliente],J143,Tabla1[Tipo de Documento],'Tabla dinamica'!$T$3))</f>
        <v/>
      </c>
      <c r="L143" s="24" t="str">
        <f ca="1">IF($R143="","",COUNTIFS(Tabla1[ID Cliente],J143,Tabla1[Tipo de Documento],'Tabla dinamica'!$T$3,Tabla1[Estado de entrega],"Entregado"))</f>
        <v/>
      </c>
      <c r="M143" s="24" t="str">
        <f ca="1">IF($R143="","",COUNTIFS(Tabla1[ID Cliente],J143,Tabla1[Tipo de Documento],'Tabla dinamica'!$T$3,Tabla1[Estado de entrega],"Pendiente"))</f>
        <v/>
      </c>
      <c r="N143" s="24" t="str">
        <f ca="1">IF($R143="","",COUNTIFS(Tabla1[ID Cliente],J143,Tabla1[Tipo de Documento],'Tabla dinamica'!$T$3,Tabla1[Estado_vigencia],"Vencido"))</f>
        <v/>
      </c>
      <c r="O143" s="24" t="str">
        <f ca="1">IF($R143="","",COUNTIFS(Tabla1[ID Cliente],J143,Tabla1[Tipo de Documento],'Tabla dinamica'!$T$3,Tabla1[Estado_vigencia],"Alerta"))</f>
        <v/>
      </c>
      <c r="P143" s="26" t="str">
        <f ca="1">IF(OR($R143="",N(K143)=0),"",COUNTIFS(Tabla1[ID Cliente],J143,Tabla1[Tipo de Documento],'Tabla dinamica'!$T$3,Tabla1[Estado de entrega],"Entregado",Tabla1[Estado_vigencia],"Vigente")/K143)</f>
        <v/>
      </c>
      <c r="R14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Row],[Estatus]]=#REF!))&gt;0)),ROWS(R$18:R143)),"")</f>
        <v/>
      </c>
    </row>
    <row r="144" spans="10:18" ht="24.95" customHeight="1">
      <c r="J144" s="24" t="str">
        <f ca="1">IF($R144="","",INDEX(TablaClientes[ID Cliente],$R144)&amp;"")</f>
        <v/>
      </c>
      <c r="K144" s="24" t="str">
        <f ca="1">IF($R144="","",COUNTIFS(Tabla1[ID Cliente],J144,Tabla1[Tipo de Documento],'Tabla dinamica'!$T$3))</f>
        <v/>
      </c>
      <c r="L144" s="24" t="str">
        <f ca="1">IF($R144="","",COUNTIFS(Tabla1[ID Cliente],J144,Tabla1[Tipo de Documento],'Tabla dinamica'!$T$3,Tabla1[Estado de entrega],"Entregado"))</f>
        <v/>
      </c>
      <c r="M144" s="24" t="str">
        <f ca="1">IF($R144="","",COUNTIFS(Tabla1[ID Cliente],J144,Tabla1[Tipo de Documento],'Tabla dinamica'!$T$3,Tabla1[Estado de entrega],"Pendiente"))</f>
        <v/>
      </c>
      <c r="N144" s="24" t="str">
        <f ca="1">IF($R144="","",COUNTIFS(Tabla1[ID Cliente],J144,Tabla1[Tipo de Documento],'Tabla dinamica'!$T$3,Tabla1[Estado_vigencia],"Vencido"))</f>
        <v/>
      </c>
      <c r="O144" s="24" t="str">
        <f ca="1">IF($R144="","",COUNTIFS(Tabla1[ID Cliente],J144,Tabla1[Tipo de Documento],'Tabla dinamica'!$T$3,Tabla1[Estado_vigencia],"Alerta"))</f>
        <v/>
      </c>
      <c r="P144" s="26" t="str">
        <f ca="1">IF(OR($R144="",N(K144)=0),"",COUNTIFS(Tabla1[ID Cliente],J144,Tabla1[Tipo de Documento],'Tabla dinamica'!$T$3,Tabla1[Estado de entrega],"Entregado",Tabla1[Estado_vigencia],"Vigente")/K144)</f>
        <v/>
      </c>
      <c r="R14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Row],[Estatus]]=#REF!))&gt;0)),ROWS(R$18:R144)),"")</f>
        <v/>
      </c>
    </row>
    <row r="145" spans="10:18" ht="24.95" customHeight="1">
      <c r="J145" s="24" t="str">
        <f ca="1">IF($R145="","",INDEX(TablaClientes[ID Cliente],$R145)&amp;"")</f>
        <v/>
      </c>
      <c r="K145" s="24" t="str">
        <f ca="1">IF($R145="","",COUNTIFS(Tabla1[ID Cliente],J145,Tabla1[Tipo de Documento],'Tabla dinamica'!$T$3))</f>
        <v/>
      </c>
      <c r="L145" s="24" t="str">
        <f ca="1">IF($R145="","",COUNTIFS(Tabla1[ID Cliente],J145,Tabla1[Tipo de Documento],'Tabla dinamica'!$T$3,Tabla1[Estado de entrega],"Entregado"))</f>
        <v/>
      </c>
      <c r="M145" s="24" t="str">
        <f ca="1">IF($R145="","",COUNTIFS(Tabla1[ID Cliente],J145,Tabla1[Tipo de Documento],'Tabla dinamica'!$T$3,Tabla1[Estado de entrega],"Pendiente"))</f>
        <v/>
      </c>
      <c r="N145" s="24" t="str">
        <f ca="1">IF($R145="","",COUNTIFS(Tabla1[ID Cliente],J145,Tabla1[Tipo de Documento],'Tabla dinamica'!$T$3,Tabla1[Estado_vigencia],"Vencido"))</f>
        <v/>
      </c>
      <c r="O145" s="24" t="str">
        <f ca="1">IF($R145="","",COUNTIFS(Tabla1[ID Cliente],J145,Tabla1[Tipo de Documento],'Tabla dinamica'!$T$3,Tabla1[Estado_vigencia],"Alerta"))</f>
        <v/>
      </c>
      <c r="P145" s="26" t="str">
        <f ca="1">IF(OR($R145="",N(K145)=0),"",COUNTIFS(Tabla1[ID Cliente],J145,Tabla1[Tipo de Documento],'Tabla dinamica'!$T$3,Tabla1[Estado de entrega],"Entregado",Tabla1[Estado_vigencia],"Vigente")/K145)</f>
        <v/>
      </c>
      <c r="R14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Row],[Estatus]]=#REF!))&gt;0)),ROWS(R$18:R145)),"")</f>
        <v/>
      </c>
    </row>
    <row r="146" spans="10:18" ht="24.95" customHeight="1">
      <c r="J146" s="24" t="str">
        <f ca="1">IF($R146="","",INDEX(TablaClientes[ID Cliente],$R146)&amp;"")</f>
        <v/>
      </c>
      <c r="K146" s="24" t="str">
        <f ca="1">IF($R146="","",COUNTIFS(Tabla1[ID Cliente],J146,Tabla1[Tipo de Documento],'Tabla dinamica'!$T$3))</f>
        <v/>
      </c>
      <c r="L146" s="24" t="str">
        <f ca="1">IF($R146="","",COUNTIFS(Tabla1[ID Cliente],J146,Tabla1[Tipo de Documento],'Tabla dinamica'!$T$3,Tabla1[Estado de entrega],"Entregado"))</f>
        <v/>
      </c>
      <c r="M146" s="24" t="str">
        <f ca="1">IF($R146="","",COUNTIFS(Tabla1[ID Cliente],J146,Tabla1[Tipo de Documento],'Tabla dinamica'!$T$3,Tabla1[Estado de entrega],"Pendiente"))</f>
        <v/>
      </c>
      <c r="N146" s="24" t="str">
        <f ca="1">IF($R146="","",COUNTIFS(Tabla1[ID Cliente],J146,Tabla1[Tipo de Documento],'Tabla dinamica'!$T$3,Tabla1[Estado_vigencia],"Vencido"))</f>
        <v/>
      </c>
      <c r="O146" s="24" t="str">
        <f ca="1">IF($R146="","",COUNTIFS(Tabla1[ID Cliente],J146,Tabla1[Tipo de Documento],'Tabla dinamica'!$T$3,Tabla1[Estado_vigencia],"Alerta"))</f>
        <v/>
      </c>
      <c r="P146" s="26" t="str">
        <f ca="1">IF(OR($R146="",N(K146)=0),"",COUNTIFS(Tabla1[ID Cliente],J146,Tabla1[Tipo de Documento],'Tabla dinamica'!$T$3,Tabla1[Estado de entrega],"Entregado",Tabla1[Estado_vigencia],"Vigente")/K146)</f>
        <v/>
      </c>
      <c r="R14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Row],[Estatus]]=#REF!))&gt;0)),ROWS(R$18:R146)),"")</f>
        <v/>
      </c>
    </row>
    <row r="147" spans="10:18" ht="24.95" customHeight="1">
      <c r="J147" s="24" t="str">
        <f ca="1">IF($R147="","",INDEX(TablaClientes[ID Cliente],$R147)&amp;"")</f>
        <v/>
      </c>
      <c r="K147" s="24" t="str">
        <f ca="1">IF($R147="","",COUNTIFS(Tabla1[ID Cliente],J147,Tabla1[Tipo de Documento],'Tabla dinamica'!$T$3))</f>
        <v/>
      </c>
      <c r="L147" s="24" t="str">
        <f ca="1">IF($R147="","",COUNTIFS(Tabla1[ID Cliente],J147,Tabla1[Tipo de Documento],'Tabla dinamica'!$T$3,Tabla1[Estado de entrega],"Entregado"))</f>
        <v/>
      </c>
      <c r="M147" s="24" t="str">
        <f ca="1">IF($R147="","",COUNTIFS(Tabla1[ID Cliente],J147,Tabla1[Tipo de Documento],'Tabla dinamica'!$T$3,Tabla1[Estado de entrega],"Pendiente"))</f>
        <v/>
      </c>
      <c r="N147" s="24" t="str">
        <f ca="1">IF($R147="","",COUNTIFS(Tabla1[ID Cliente],J147,Tabla1[Tipo de Documento],'Tabla dinamica'!$T$3,Tabla1[Estado_vigencia],"Vencido"))</f>
        <v/>
      </c>
      <c r="O147" s="24" t="str">
        <f ca="1">IF($R147="","",COUNTIFS(Tabla1[ID Cliente],J147,Tabla1[Tipo de Documento],'Tabla dinamica'!$T$3,Tabla1[Estado_vigencia],"Alerta"))</f>
        <v/>
      </c>
      <c r="P147" s="26" t="str">
        <f ca="1">IF(OR($R147="",N(K147)=0),"",COUNTIFS(Tabla1[ID Cliente],J147,Tabla1[Tipo de Documento],'Tabla dinamica'!$T$3,Tabla1[Estado de entrega],"Entregado",Tabla1[Estado_vigencia],"Vigente")/K147)</f>
        <v/>
      </c>
      <c r="R14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Row],[Estatus]]=#REF!))&gt;0)),ROWS(R$18:R147)),"")</f>
        <v/>
      </c>
    </row>
    <row r="148" spans="10:18" ht="24.95" customHeight="1">
      <c r="J148" s="24" t="str">
        <f ca="1">IF($R148="","",INDEX(TablaClientes[ID Cliente],$R148)&amp;"")</f>
        <v/>
      </c>
      <c r="K148" s="24" t="str">
        <f ca="1">IF($R148="","",COUNTIFS(Tabla1[ID Cliente],J148,Tabla1[Tipo de Documento],'Tabla dinamica'!$T$3))</f>
        <v/>
      </c>
      <c r="L148" s="24" t="str">
        <f ca="1">IF($R148="","",COUNTIFS(Tabla1[ID Cliente],J148,Tabla1[Tipo de Documento],'Tabla dinamica'!$T$3,Tabla1[Estado de entrega],"Entregado"))</f>
        <v/>
      </c>
      <c r="M148" s="24" t="str">
        <f ca="1">IF($R148="","",COUNTIFS(Tabla1[ID Cliente],J148,Tabla1[Tipo de Documento],'Tabla dinamica'!$T$3,Tabla1[Estado de entrega],"Pendiente"))</f>
        <v/>
      </c>
      <c r="N148" s="24" t="str">
        <f ca="1">IF($R148="","",COUNTIFS(Tabla1[ID Cliente],J148,Tabla1[Tipo de Documento],'Tabla dinamica'!$T$3,Tabla1[Estado_vigencia],"Vencido"))</f>
        <v/>
      </c>
      <c r="O148" s="24" t="str">
        <f ca="1">IF($R148="","",COUNTIFS(Tabla1[ID Cliente],J148,Tabla1[Tipo de Documento],'Tabla dinamica'!$T$3,Tabla1[Estado_vigencia],"Alerta"))</f>
        <v/>
      </c>
      <c r="P148" s="26" t="str">
        <f ca="1">IF(OR($R148="",N(K148)=0),"",COUNTIFS(Tabla1[ID Cliente],J148,Tabla1[Tipo de Documento],'Tabla dinamica'!$T$3,Tabla1[Estado de entrega],"Entregado",Tabla1[Estado_vigencia],"Vigente")/K148)</f>
        <v/>
      </c>
      <c r="R14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Row],[Estatus]]=#REF!))&gt;0)),ROWS(R$18:R148)),"")</f>
        <v/>
      </c>
    </row>
    <row r="149" spans="10:18" ht="24.95" customHeight="1">
      <c r="J149" s="24" t="str">
        <f ca="1">IF($R149="","",INDEX(TablaClientes[ID Cliente],$R149)&amp;"")</f>
        <v/>
      </c>
      <c r="K149" s="24" t="str">
        <f ca="1">IF($R149="","",COUNTIFS(Tabla1[ID Cliente],J149,Tabla1[Tipo de Documento],'Tabla dinamica'!$T$3))</f>
        <v/>
      </c>
      <c r="L149" s="24" t="str">
        <f ca="1">IF($R149="","",COUNTIFS(Tabla1[ID Cliente],J149,Tabla1[Tipo de Documento],'Tabla dinamica'!$T$3,Tabla1[Estado de entrega],"Entregado"))</f>
        <v/>
      </c>
      <c r="M149" s="24" t="str">
        <f ca="1">IF($R149="","",COUNTIFS(Tabla1[ID Cliente],J149,Tabla1[Tipo de Documento],'Tabla dinamica'!$T$3,Tabla1[Estado de entrega],"Pendiente"))</f>
        <v/>
      </c>
      <c r="N149" s="24" t="str">
        <f ca="1">IF($R149="","",COUNTIFS(Tabla1[ID Cliente],J149,Tabla1[Tipo de Documento],'Tabla dinamica'!$T$3,Tabla1[Estado_vigencia],"Vencido"))</f>
        <v/>
      </c>
      <c r="O149" s="24" t="str">
        <f ca="1">IF($R149="","",COUNTIFS(Tabla1[ID Cliente],J149,Tabla1[Tipo de Documento],'Tabla dinamica'!$T$3,Tabla1[Estado_vigencia],"Alerta"))</f>
        <v/>
      </c>
      <c r="P149" s="26" t="str">
        <f ca="1">IF(OR($R149="",N(K149)=0),"",COUNTIFS(Tabla1[ID Cliente],J149,Tabla1[Tipo de Documento],'Tabla dinamica'!$T$3,Tabla1[Estado de entrega],"Entregado",Tabla1[Estado_vigencia],"Vigente")/K149)</f>
        <v/>
      </c>
      <c r="R14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Row],[Estatus]]=#REF!))&gt;0)),ROWS(R$18:R149)),"")</f>
        <v/>
      </c>
    </row>
    <row r="150" spans="10:18" ht="24.95" customHeight="1">
      <c r="J150" s="24" t="str">
        <f ca="1">IF($R150="","",INDEX(TablaClientes[ID Cliente],$R150)&amp;"")</f>
        <v/>
      </c>
      <c r="K150" s="24" t="str">
        <f ca="1">IF($R150="","",COUNTIFS(Tabla1[ID Cliente],J150,Tabla1[Tipo de Documento],'Tabla dinamica'!$T$3))</f>
        <v/>
      </c>
      <c r="L150" s="24" t="str">
        <f ca="1">IF($R150="","",COUNTIFS(Tabla1[ID Cliente],J150,Tabla1[Tipo de Documento],'Tabla dinamica'!$T$3,Tabla1[Estado de entrega],"Entregado"))</f>
        <v/>
      </c>
      <c r="M150" s="24" t="str">
        <f ca="1">IF($R150="","",COUNTIFS(Tabla1[ID Cliente],J150,Tabla1[Tipo de Documento],'Tabla dinamica'!$T$3,Tabla1[Estado de entrega],"Pendiente"))</f>
        <v/>
      </c>
      <c r="N150" s="24" t="str">
        <f ca="1">IF($R150="","",COUNTIFS(Tabla1[ID Cliente],J150,Tabla1[Tipo de Documento],'Tabla dinamica'!$T$3,Tabla1[Estado_vigencia],"Vencido"))</f>
        <v/>
      </c>
      <c r="O150" s="24" t="str">
        <f ca="1">IF($R150="","",COUNTIFS(Tabla1[ID Cliente],J150,Tabla1[Tipo de Documento],'Tabla dinamica'!$T$3,Tabla1[Estado_vigencia],"Alerta"))</f>
        <v/>
      </c>
      <c r="P150" s="26" t="str">
        <f ca="1">IF(OR($R150="",N(K150)=0),"",COUNTIFS(Tabla1[ID Cliente],J150,Tabla1[Tipo de Documento],'Tabla dinamica'!$T$3,Tabla1[Estado de entrega],"Entregado",Tabla1[Estado_vigencia],"Vigente")/K150)</f>
        <v/>
      </c>
      <c r="R15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Row],[Estatus]]=#REF!))&gt;0)),ROWS(R$18:R150)),"")</f>
        <v/>
      </c>
    </row>
    <row r="151" spans="10:18" ht="24.95" customHeight="1">
      <c r="J151" s="24" t="str">
        <f ca="1">IF($R151="","",INDEX(TablaClientes[ID Cliente],$R151)&amp;"")</f>
        <v/>
      </c>
      <c r="K151" s="24" t="str">
        <f ca="1">IF($R151="","",COUNTIFS(Tabla1[ID Cliente],J151,Tabla1[Tipo de Documento],'Tabla dinamica'!$T$3))</f>
        <v/>
      </c>
      <c r="L151" s="24" t="str">
        <f ca="1">IF($R151="","",COUNTIFS(Tabla1[ID Cliente],J151,Tabla1[Tipo de Documento],'Tabla dinamica'!$T$3,Tabla1[Estado de entrega],"Entregado"))</f>
        <v/>
      </c>
      <c r="M151" s="24" t="str">
        <f ca="1">IF($R151="","",COUNTIFS(Tabla1[ID Cliente],J151,Tabla1[Tipo de Documento],'Tabla dinamica'!$T$3,Tabla1[Estado de entrega],"Pendiente"))</f>
        <v/>
      </c>
      <c r="N151" s="24" t="str">
        <f ca="1">IF($R151="","",COUNTIFS(Tabla1[ID Cliente],J151,Tabla1[Tipo de Documento],'Tabla dinamica'!$T$3,Tabla1[Estado_vigencia],"Vencido"))</f>
        <v/>
      </c>
      <c r="O151" s="24" t="str">
        <f ca="1">IF($R151="","",COUNTIFS(Tabla1[ID Cliente],J151,Tabla1[Tipo de Documento],'Tabla dinamica'!$T$3,Tabla1[Estado_vigencia],"Alerta"))</f>
        <v/>
      </c>
      <c r="P151" s="26" t="str">
        <f ca="1">IF(OR($R151="",N(K151)=0),"",COUNTIFS(Tabla1[ID Cliente],J151,Tabla1[Tipo de Documento],'Tabla dinamica'!$T$3,Tabla1[Estado de entrega],"Entregado",Tabla1[Estado_vigencia],"Vigente")/K151)</f>
        <v/>
      </c>
      <c r="R15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Row],[Estatus]]=#REF!))&gt;0)),ROWS(R$18:R151)),"")</f>
        <v/>
      </c>
    </row>
    <row r="152" spans="10:18" ht="24.95" customHeight="1">
      <c r="J152" s="24" t="str">
        <f ca="1">IF($R152="","",INDEX(TablaClientes[ID Cliente],$R152)&amp;"")</f>
        <v/>
      </c>
      <c r="K152" s="24" t="str">
        <f ca="1">IF($R152="","",COUNTIFS(Tabla1[ID Cliente],J152,Tabla1[Tipo de Documento],'Tabla dinamica'!$T$3))</f>
        <v/>
      </c>
      <c r="L152" s="24" t="str">
        <f ca="1">IF($R152="","",COUNTIFS(Tabla1[ID Cliente],J152,Tabla1[Tipo de Documento],'Tabla dinamica'!$T$3,Tabla1[Estado de entrega],"Entregado"))</f>
        <v/>
      </c>
      <c r="M152" s="24" t="str">
        <f ca="1">IF($R152="","",COUNTIFS(Tabla1[ID Cliente],J152,Tabla1[Tipo de Documento],'Tabla dinamica'!$T$3,Tabla1[Estado de entrega],"Pendiente"))</f>
        <v/>
      </c>
      <c r="N152" s="24" t="str">
        <f ca="1">IF($R152="","",COUNTIFS(Tabla1[ID Cliente],J152,Tabla1[Tipo de Documento],'Tabla dinamica'!$T$3,Tabla1[Estado_vigencia],"Vencido"))</f>
        <v/>
      </c>
      <c r="O152" s="24" t="str">
        <f ca="1">IF($R152="","",COUNTIFS(Tabla1[ID Cliente],J152,Tabla1[Tipo de Documento],'Tabla dinamica'!$T$3,Tabla1[Estado_vigencia],"Alerta"))</f>
        <v/>
      </c>
      <c r="P152" s="26" t="str">
        <f ca="1">IF(OR($R152="",N(K152)=0),"",COUNTIFS(Tabla1[ID Cliente],J152,Tabla1[Tipo de Documento],'Tabla dinamica'!$T$3,Tabla1[Estado de entrega],"Entregado",Tabla1[Estado_vigencia],"Vigente")/K152)</f>
        <v/>
      </c>
      <c r="R15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Row],[Estatus]]=#REF!))&gt;0)),ROWS(R$18:R152)),"")</f>
        <v/>
      </c>
    </row>
    <row r="153" spans="10:18" ht="24.95" customHeight="1">
      <c r="J153" s="24" t="str">
        <f ca="1">IF($R153="","",INDEX(TablaClientes[ID Cliente],$R153)&amp;"")</f>
        <v/>
      </c>
      <c r="K153" s="24" t="str">
        <f ca="1">IF($R153="","",COUNTIFS(Tabla1[ID Cliente],J153,Tabla1[Tipo de Documento],'Tabla dinamica'!$T$3))</f>
        <v/>
      </c>
      <c r="L153" s="24" t="str">
        <f ca="1">IF($R153="","",COUNTIFS(Tabla1[ID Cliente],J153,Tabla1[Tipo de Documento],'Tabla dinamica'!$T$3,Tabla1[Estado de entrega],"Entregado"))</f>
        <v/>
      </c>
      <c r="M153" s="24" t="str">
        <f ca="1">IF($R153="","",COUNTIFS(Tabla1[ID Cliente],J153,Tabla1[Tipo de Documento],'Tabla dinamica'!$T$3,Tabla1[Estado de entrega],"Pendiente"))</f>
        <v/>
      </c>
      <c r="N153" s="24" t="str">
        <f ca="1">IF($R153="","",COUNTIFS(Tabla1[ID Cliente],J153,Tabla1[Tipo de Documento],'Tabla dinamica'!$T$3,Tabla1[Estado_vigencia],"Vencido"))</f>
        <v/>
      </c>
      <c r="O153" s="24" t="str">
        <f ca="1">IF($R153="","",COUNTIFS(Tabla1[ID Cliente],J153,Tabla1[Tipo de Documento],'Tabla dinamica'!$T$3,Tabla1[Estado_vigencia],"Alerta"))</f>
        <v/>
      </c>
      <c r="P153" s="26" t="str">
        <f ca="1">IF(OR($R153="",N(K153)=0),"",COUNTIFS(Tabla1[ID Cliente],J153,Tabla1[Tipo de Documento],'Tabla dinamica'!$T$3,Tabla1[Estado de entrega],"Entregado",Tabla1[Estado_vigencia],"Vigente")/K153)</f>
        <v/>
      </c>
      <c r="R15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Row],[Estatus]]=#REF!))&gt;0)),ROWS(R$18:R153)),"")</f>
        <v/>
      </c>
    </row>
    <row r="154" spans="10:18" ht="24.95" customHeight="1">
      <c r="J154" s="24" t="str">
        <f ca="1">IF($R154="","",INDEX(TablaClientes[ID Cliente],$R154)&amp;"")</f>
        <v/>
      </c>
      <c r="K154" s="24" t="str">
        <f ca="1">IF($R154="","",COUNTIFS(Tabla1[ID Cliente],J154,Tabla1[Tipo de Documento],'Tabla dinamica'!$T$3))</f>
        <v/>
      </c>
      <c r="L154" s="24" t="str">
        <f ca="1">IF($R154="","",COUNTIFS(Tabla1[ID Cliente],J154,Tabla1[Tipo de Documento],'Tabla dinamica'!$T$3,Tabla1[Estado de entrega],"Entregado"))</f>
        <v/>
      </c>
      <c r="M154" s="24" t="str">
        <f ca="1">IF($R154="","",COUNTIFS(Tabla1[ID Cliente],J154,Tabla1[Tipo de Documento],'Tabla dinamica'!$T$3,Tabla1[Estado de entrega],"Pendiente"))</f>
        <v/>
      </c>
      <c r="N154" s="24" t="str">
        <f ca="1">IF($R154="","",COUNTIFS(Tabla1[ID Cliente],J154,Tabla1[Tipo de Documento],'Tabla dinamica'!$T$3,Tabla1[Estado_vigencia],"Vencido"))</f>
        <v/>
      </c>
      <c r="O154" s="24" t="str">
        <f ca="1">IF($R154="","",COUNTIFS(Tabla1[ID Cliente],J154,Tabla1[Tipo de Documento],'Tabla dinamica'!$T$3,Tabla1[Estado_vigencia],"Alerta"))</f>
        <v/>
      </c>
      <c r="P154" s="26" t="str">
        <f ca="1">IF(OR($R154="",N(K154)=0),"",COUNTIFS(Tabla1[ID Cliente],J154,Tabla1[Tipo de Documento],'Tabla dinamica'!$T$3,Tabla1[Estado de entrega],"Entregado",Tabla1[Estado_vigencia],"Vigente")/K154)</f>
        <v/>
      </c>
      <c r="R15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Row],[Estatus]]=#REF!))&gt;0)),ROWS(R$18:R154)),"")</f>
        <v/>
      </c>
    </row>
    <row r="155" spans="10:18" ht="24.95" customHeight="1">
      <c r="J155" s="24" t="str">
        <f ca="1">IF($R155="","",INDEX(TablaClientes[ID Cliente],$R155)&amp;"")</f>
        <v/>
      </c>
      <c r="K155" s="24" t="str">
        <f ca="1">IF($R155="","",COUNTIFS(Tabla1[ID Cliente],J155,Tabla1[Tipo de Documento],'Tabla dinamica'!$T$3))</f>
        <v/>
      </c>
      <c r="L155" s="24" t="str">
        <f ca="1">IF($R155="","",COUNTIFS(Tabla1[ID Cliente],J155,Tabla1[Tipo de Documento],'Tabla dinamica'!$T$3,Tabla1[Estado de entrega],"Entregado"))</f>
        <v/>
      </c>
      <c r="M155" s="24" t="str">
        <f ca="1">IF($R155="","",COUNTIFS(Tabla1[ID Cliente],J155,Tabla1[Tipo de Documento],'Tabla dinamica'!$T$3,Tabla1[Estado de entrega],"Pendiente"))</f>
        <v/>
      </c>
      <c r="N155" s="24" t="str">
        <f ca="1">IF($R155="","",COUNTIFS(Tabla1[ID Cliente],J155,Tabla1[Tipo de Documento],'Tabla dinamica'!$T$3,Tabla1[Estado_vigencia],"Vencido"))</f>
        <v/>
      </c>
      <c r="O155" s="24" t="str">
        <f ca="1">IF($R155="","",COUNTIFS(Tabla1[ID Cliente],J155,Tabla1[Tipo de Documento],'Tabla dinamica'!$T$3,Tabla1[Estado_vigencia],"Alerta"))</f>
        <v/>
      </c>
      <c r="P155" s="26" t="str">
        <f ca="1">IF(OR($R155="",N(K155)=0),"",COUNTIFS(Tabla1[ID Cliente],J155,Tabla1[Tipo de Documento],'Tabla dinamica'!$T$3,Tabla1[Estado de entrega],"Entregado",Tabla1[Estado_vigencia],"Vigente")/K155)</f>
        <v/>
      </c>
      <c r="R15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Row],[Estatus]]=#REF!))&gt;0)),ROWS(R$18:R155)),"")</f>
        <v/>
      </c>
    </row>
    <row r="156" spans="10:18" ht="24.95" customHeight="1">
      <c r="J156" s="24" t="str">
        <f ca="1">IF($R156="","",INDEX(TablaClientes[ID Cliente],$R156)&amp;"")</f>
        <v/>
      </c>
      <c r="K156" s="24" t="str">
        <f ca="1">IF($R156="","",COUNTIFS(Tabla1[ID Cliente],J156,Tabla1[Tipo de Documento],'Tabla dinamica'!$T$3))</f>
        <v/>
      </c>
      <c r="L156" s="24" t="str">
        <f ca="1">IF($R156="","",COUNTIFS(Tabla1[ID Cliente],J156,Tabla1[Tipo de Documento],'Tabla dinamica'!$T$3,Tabla1[Estado de entrega],"Entregado"))</f>
        <v/>
      </c>
      <c r="M156" s="24" t="str">
        <f ca="1">IF($R156="","",COUNTIFS(Tabla1[ID Cliente],J156,Tabla1[Tipo de Documento],'Tabla dinamica'!$T$3,Tabla1[Estado de entrega],"Pendiente"))</f>
        <v/>
      </c>
      <c r="N156" s="24" t="str">
        <f ca="1">IF($R156="","",COUNTIFS(Tabla1[ID Cliente],J156,Tabla1[Tipo de Documento],'Tabla dinamica'!$T$3,Tabla1[Estado_vigencia],"Vencido"))</f>
        <v/>
      </c>
      <c r="O156" s="24" t="str">
        <f ca="1">IF($R156="","",COUNTIFS(Tabla1[ID Cliente],J156,Tabla1[Tipo de Documento],'Tabla dinamica'!$T$3,Tabla1[Estado_vigencia],"Alerta"))</f>
        <v/>
      </c>
      <c r="P156" s="26" t="str">
        <f ca="1">IF(OR($R156="",N(K156)=0),"",COUNTIFS(Tabla1[ID Cliente],J156,Tabla1[Tipo de Documento],'Tabla dinamica'!$T$3,Tabla1[Estado de entrega],"Entregado",Tabla1[Estado_vigencia],"Vigente")/K156)</f>
        <v/>
      </c>
      <c r="R15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Row],[Estatus]]=#REF!))&gt;0)),ROWS(R$18:R156)),"")</f>
        <v/>
      </c>
    </row>
    <row r="157" spans="10:18" ht="24.95" customHeight="1">
      <c r="J157" s="24" t="str">
        <f ca="1">IF($R157="","",INDEX(TablaClientes[ID Cliente],$R157)&amp;"")</f>
        <v/>
      </c>
      <c r="K157" s="24" t="str">
        <f ca="1">IF($R157="","",COUNTIFS(Tabla1[ID Cliente],J157,Tabla1[Tipo de Documento],'Tabla dinamica'!$T$3))</f>
        <v/>
      </c>
      <c r="L157" s="24" t="str">
        <f ca="1">IF($R157="","",COUNTIFS(Tabla1[ID Cliente],J157,Tabla1[Tipo de Documento],'Tabla dinamica'!$T$3,Tabla1[Estado de entrega],"Entregado"))</f>
        <v/>
      </c>
      <c r="M157" s="24" t="str">
        <f ca="1">IF($R157="","",COUNTIFS(Tabla1[ID Cliente],J157,Tabla1[Tipo de Documento],'Tabla dinamica'!$T$3,Tabla1[Estado de entrega],"Pendiente"))</f>
        <v/>
      </c>
      <c r="N157" s="24" t="str">
        <f ca="1">IF($R157="","",COUNTIFS(Tabla1[ID Cliente],J157,Tabla1[Tipo de Documento],'Tabla dinamica'!$T$3,Tabla1[Estado_vigencia],"Vencido"))</f>
        <v/>
      </c>
      <c r="O157" s="24" t="str">
        <f ca="1">IF($R157="","",COUNTIFS(Tabla1[ID Cliente],J157,Tabla1[Tipo de Documento],'Tabla dinamica'!$T$3,Tabla1[Estado_vigencia],"Alerta"))</f>
        <v/>
      </c>
      <c r="P157" s="26" t="str">
        <f ca="1">IF(OR($R157="",N(K157)=0),"",COUNTIFS(Tabla1[ID Cliente],J157,Tabla1[Tipo de Documento],'Tabla dinamica'!$T$3,Tabla1[Estado de entrega],"Entregado",Tabla1[Estado_vigencia],"Vigente")/K157)</f>
        <v/>
      </c>
      <c r="R15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Row],[Estatus]]=#REF!))&gt;0)),ROWS(R$18:R157)),"")</f>
        <v/>
      </c>
    </row>
    <row r="158" spans="10:18" ht="24.95" customHeight="1">
      <c r="J158" s="24" t="str">
        <f ca="1">IF($R158="","",INDEX(TablaClientes[ID Cliente],$R158)&amp;"")</f>
        <v/>
      </c>
      <c r="K158" s="24" t="str">
        <f ca="1">IF($R158="","",COUNTIFS(Tabla1[ID Cliente],J158,Tabla1[Tipo de Documento],'Tabla dinamica'!$T$3))</f>
        <v/>
      </c>
      <c r="L158" s="24" t="str">
        <f ca="1">IF($R158="","",COUNTIFS(Tabla1[ID Cliente],J158,Tabla1[Tipo de Documento],'Tabla dinamica'!$T$3,Tabla1[Estado de entrega],"Entregado"))</f>
        <v/>
      </c>
      <c r="M158" s="24" t="str">
        <f ca="1">IF($R158="","",COUNTIFS(Tabla1[ID Cliente],J158,Tabla1[Tipo de Documento],'Tabla dinamica'!$T$3,Tabla1[Estado de entrega],"Pendiente"))</f>
        <v/>
      </c>
      <c r="N158" s="24" t="str">
        <f ca="1">IF($R158="","",COUNTIFS(Tabla1[ID Cliente],J158,Tabla1[Tipo de Documento],'Tabla dinamica'!$T$3,Tabla1[Estado_vigencia],"Vencido"))</f>
        <v/>
      </c>
      <c r="O158" s="24" t="str">
        <f ca="1">IF($R158="","",COUNTIFS(Tabla1[ID Cliente],J158,Tabla1[Tipo de Documento],'Tabla dinamica'!$T$3,Tabla1[Estado_vigencia],"Alerta"))</f>
        <v/>
      </c>
      <c r="P158" s="26" t="str">
        <f ca="1">IF(OR($R158="",N(K158)=0),"",COUNTIFS(Tabla1[ID Cliente],J158,Tabla1[Tipo de Documento],'Tabla dinamica'!$T$3,Tabla1[Estado de entrega],"Entregado",Tabla1[Estado_vigencia],"Vigente")/K158)</f>
        <v/>
      </c>
      <c r="R158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Row],[Estatus]]=#REF!))&gt;0)),ROWS(R$18:R158)),"")</f>
        <v/>
      </c>
    </row>
    <row r="159" spans="10:18" ht="24.95" customHeight="1">
      <c r="J159" s="24" t="str">
        <f ca="1">IF($R159="","",INDEX(TablaClientes[ID Cliente],$R159)&amp;"")</f>
        <v/>
      </c>
      <c r="K159" s="24" t="str">
        <f ca="1">IF($R159="","",COUNTIFS(Tabla1[ID Cliente],J159,Tabla1[Tipo de Documento],'Tabla dinamica'!$T$3))</f>
        <v/>
      </c>
      <c r="L159" s="24" t="str">
        <f ca="1">IF($R159="","",COUNTIFS(Tabla1[ID Cliente],J159,Tabla1[Tipo de Documento],'Tabla dinamica'!$T$3,Tabla1[Estado de entrega],"Entregado"))</f>
        <v/>
      </c>
      <c r="M159" s="24" t="str">
        <f ca="1">IF($R159="","",COUNTIFS(Tabla1[ID Cliente],J159,Tabla1[Tipo de Documento],'Tabla dinamica'!$T$3,Tabla1[Estado de entrega],"Pendiente"))</f>
        <v/>
      </c>
      <c r="N159" s="24" t="str">
        <f ca="1">IF($R159="","",COUNTIFS(Tabla1[ID Cliente],J159,Tabla1[Tipo de Documento],'Tabla dinamica'!$T$3,Tabla1[Estado_vigencia],"Vencido"))</f>
        <v/>
      </c>
      <c r="O159" s="24" t="str">
        <f ca="1">IF($R159="","",COUNTIFS(Tabla1[ID Cliente],J159,Tabla1[Tipo de Documento],'Tabla dinamica'!$T$3,Tabla1[Estado_vigencia],"Alerta"))</f>
        <v/>
      </c>
      <c r="P159" s="26" t="str">
        <f ca="1">IF(OR($R159="",N(K159)=0),"",COUNTIFS(Tabla1[ID Cliente],J159,Tabla1[Tipo de Documento],'Tabla dinamica'!$T$3,Tabla1[Estado de entrega],"Entregado",Tabla1[Estado_vigencia],"Vigente")/K159)</f>
        <v/>
      </c>
      <c r="R159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Row],[Estatus]]=#REF!))&gt;0)),ROWS(R$18:R159)),"")</f>
        <v/>
      </c>
    </row>
    <row r="160" spans="10:18" ht="24.95" customHeight="1">
      <c r="J160" s="24" t="str">
        <f ca="1">IF($R160="","",INDEX(TablaClientes[ID Cliente],$R160)&amp;"")</f>
        <v/>
      </c>
      <c r="K160" s="24" t="str">
        <f ca="1">IF($R160="","",COUNTIFS(Tabla1[ID Cliente],J160,Tabla1[Tipo de Documento],'Tabla dinamica'!$T$3))</f>
        <v/>
      </c>
      <c r="L160" s="24" t="str">
        <f ca="1">IF($R160="","",COUNTIFS(Tabla1[ID Cliente],J160,Tabla1[Tipo de Documento],'Tabla dinamica'!$T$3,Tabla1[Estado de entrega],"Entregado"))</f>
        <v/>
      </c>
      <c r="M160" s="24" t="str">
        <f ca="1">IF($R160="","",COUNTIFS(Tabla1[ID Cliente],J160,Tabla1[Tipo de Documento],'Tabla dinamica'!$T$3,Tabla1[Estado de entrega],"Pendiente"))</f>
        <v/>
      </c>
      <c r="N160" s="24" t="str">
        <f ca="1">IF($R160="","",COUNTIFS(Tabla1[ID Cliente],J160,Tabla1[Tipo de Documento],'Tabla dinamica'!$T$3,Tabla1[Estado_vigencia],"Vencido"))</f>
        <v/>
      </c>
      <c r="O160" s="24" t="str">
        <f ca="1">IF($R160="","",COUNTIFS(Tabla1[ID Cliente],J160,Tabla1[Tipo de Documento],'Tabla dinamica'!$T$3,Tabla1[Estado_vigencia],"Alerta"))</f>
        <v/>
      </c>
      <c r="P160" s="26" t="str">
        <f ca="1">IF(OR($R160="",N(K160)=0),"",COUNTIFS(Tabla1[ID Cliente],J160,Tabla1[Tipo de Documento],'Tabla dinamica'!$T$3,Tabla1[Estado de entrega],"Entregado",Tabla1[Estado_vigencia],"Vigente")/K160)</f>
        <v/>
      </c>
      <c r="R160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Row],[Estatus]]=#REF!))&gt;0)),ROWS(R$18:R160)),"")</f>
        <v/>
      </c>
    </row>
    <row r="161" spans="10:18" ht="24.95" customHeight="1">
      <c r="J161" s="24" t="str">
        <f ca="1">IF($R161="","",INDEX(TablaClientes[ID Cliente],$R161)&amp;"")</f>
        <v/>
      </c>
      <c r="K161" s="24" t="str">
        <f ca="1">IF($R161="","",COUNTIFS(Tabla1[ID Cliente],J161,Tabla1[Tipo de Documento],'Tabla dinamica'!$T$3))</f>
        <v/>
      </c>
      <c r="L161" s="24" t="str">
        <f ca="1">IF($R161="","",COUNTIFS(Tabla1[ID Cliente],J161,Tabla1[Tipo de Documento],'Tabla dinamica'!$T$3,Tabla1[Estado de entrega],"Entregado"))</f>
        <v/>
      </c>
      <c r="M161" s="24" t="str">
        <f ca="1">IF($R161="","",COUNTIFS(Tabla1[ID Cliente],J161,Tabla1[Tipo de Documento],'Tabla dinamica'!$T$3,Tabla1[Estado de entrega],"Pendiente"))</f>
        <v/>
      </c>
      <c r="N161" s="24" t="str">
        <f ca="1">IF($R161="","",COUNTIFS(Tabla1[ID Cliente],J161,Tabla1[Tipo de Documento],'Tabla dinamica'!$T$3,Tabla1[Estado_vigencia],"Vencido"))</f>
        <v/>
      </c>
      <c r="O161" s="24" t="str">
        <f ca="1">IF($R161="","",COUNTIFS(Tabla1[ID Cliente],J161,Tabla1[Tipo de Documento],'Tabla dinamica'!$T$3,Tabla1[Estado_vigencia],"Alerta"))</f>
        <v/>
      </c>
      <c r="P161" s="26" t="str">
        <f ca="1">IF(OR($R161="",N(K161)=0),"",COUNTIFS(Tabla1[ID Cliente],J161,Tabla1[Tipo de Documento],'Tabla dinamica'!$T$3,Tabla1[Estado de entrega],"Entregado",Tabla1[Estado_vigencia],"Vigente")/K161)</f>
        <v/>
      </c>
      <c r="R161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Row],[Estatus]]=#REF!))&gt;0)),ROWS(R$18:R161)),"")</f>
        <v/>
      </c>
    </row>
    <row r="162" spans="10:18" ht="24.95" customHeight="1">
      <c r="J162" s="24" t="str">
        <f ca="1">IF($R162="","",INDEX(TablaClientes[ID Cliente],$R162)&amp;"")</f>
        <v/>
      </c>
      <c r="K162" s="24" t="str">
        <f ca="1">IF($R162="","",COUNTIFS(Tabla1[ID Cliente],J162,Tabla1[Tipo de Documento],'Tabla dinamica'!$T$3))</f>
        <v/>
      </c>
      <c r="L162" s="24" t="str">
        <f ca="1">IF($R162="","",COUNTIFS(Tabla1[ID Cliente],J162,Tabla1[Tipo de Documento],'Tabla dinamica'!$T$3,Tabla1[Estado de entrega],"Entregado"))</f>
        <v/>
      </c>
      <c r="M162" s="24" t="str">
        <f ca="1">IF($R162="","",COUNTIFS(Tabla1[ID Cliente],J162,Tabla1[Tipo de Documento],'Tabla dinamica'!$T$3,Tabla1[Estado de entrega],"Pendiente"))</f>
        <v/>
      </c>
      <c r="N162" s="24" t="str">
        <f ca="1">IF($R162="","",COUNTIFS(Tabla1[ID Cliente],J162,Tabla1[Tipo de Documento],'Tabla dinamica'!$T$3,Tabla1[Estado_vigencia],"Vencido"))</f>
        <v/>
      </c>
      <c r="O162" s="24" t="str">
        <f ca="1">IF($R162="","",COUNTIFS(Tabla1[ID Cliente],J162,Tabla1[Tipo de Documento],'Tabla dinamica'!$T$3,Tabla1[Estado_vigencia],"Alerta"))</f>
        <v/>
      </c>
      <c r="P162" s="26" t="str">
        <f ca="1">IF(OR($R162="",N(K162)=0),"",COUNTIFS(Tabla1[ID Cliente],J162,Tabla1[Tipo de Documento],'Tabla dinamica'!$T$3,Tabla1[Estado de entrega],"Entregado",Tabla1[Estado_vigencia],"Vigente")/K162)</f>
        <v/>
      </c>
      <c r="R162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Row],[Estatus]]=#REF!))&gt;0)),ROWS(R$18:R162)),"")</f>
        <v/>
      </c>
    </row>
    <row r="163" spans="10:18" ht="24.95" customHeight="1">
      <c r="J163" s="24" t="str">
        <f ca="1">IF($R163="","",INDEX(TablaClientes[ID Cliente],$R163)&amp;"")</f>
        <v/>
      </c>
      <c r="K163" s="24" t="str">
        <f ca="1">IF($R163="","",COUNTIFS(Tabla1[ID Cliente],J163,Tabla1[Tipo de Documento],'Tabla dinamica'!$T$3))</f>
        <v/>
      </c>
      <c r="L163" s="24" t="str">
        <f ca="1">IF($R163="","",COUNTIFS(Tabla1[ID Cliente],J163,Tabla1[Tipo de Documento],'Tabla dinamica'!$T$3,Tabla1[Estado de entrega],"Entregado"))</f>
        <v/>
      </c>
      <c r="M163" s="24" t="str">
        <f ca="1">IF($R163="","",COUNTIFS(Tabla1[ID Cliente],J163,Tabla1[Tipo de Documento],'Tabla dinamica'!$T$3,Tabla1[Estado de entrega],"Pendiente"))</f>
        <v/>
      </c>
      <c r="N163" s="24" t="str">
        <f ca="1">IF($R163="","",COUNTIFS(Tabla1[ID Cliente],J163,Tabla1[Tipo de Documento],'Tabla dinamica'!$T$3,Tabla1[Estado_vigencia],"Vencido"))</f>
        <v/>
      </c>
      <c r="O163" s="24" t="str">
        <f ca="1">IF($R163="","",COUNTIFS(Tabla1[ID Cliente],J163,Tabla1[Tipo de Documento],'Tabla dinamica'!$T$3,Tabla1[Estado_vigencia],"Alerta"))</f>
        <v/>
      </c>
      <c r="P163" s="26" t="str">
        <f ca="1">IF(OR($R163="",N(K163)=0),"",COUNTIFS(Tabla1[ID Cliente],J163,Tabla1[Tipo de Documento],'Tabla dinamica'!$T$3,Tabla1[Estado de entrega],"Entregado",Tabla1[Estado_vigencia],"Vigente")/K163)</f>
        <v/>
      </c>
      <c r="R163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Row],[Estatus]]=#REF!))&gt;0)),ROWS(R$18:R163)),"")</f>
        <v/>
      </c>
    </row>
    <row r="164" spans="10:18" ht="24.95" customHeight="1">
      <c r="J164" s="24" t="str">
        <f ca="1">IF($R164="","",INDEX(TablaClientes[ID Cliente],$R164)&amp;"")</f>
        <v/>
      </c>
      <c r="K164" s="24" t="str">
        <f ca="1">IF($R164="","",COUNTIFS(Tabla1[ID Cliente],J164,Tabla1[Tipo de Documento],'Tabla dinamica'!$T$3))</f>
        <v/>
      </c>
      <c r="L164" s="24" t="str">
        <f ca="1">IF($R164="","",COUNTIFS(Tabla1[ID Cliente],J164,Tabla1[Tipo de Documento],'Tabla dinamica'!$T$3,Tabla1[Estado de entrega],"Entregado"))</f>
        <v/>
      </c>
      <c r="M164" s="24" t="str">
        <f ca="1">IF($R164="","",COUNTIFS(Tabla1[ID Cliente],J164,Tabla1[Tipo de Documento],'Tabla dinamica'!$T$3,Tabla1[Estado de entrega],"Pendiente"))</f>
        <v/>
      </c>
      <c r="N164" s="24" t="str">
        <f ca="1">IF($R164="","",COUNTIFS(Tabla1[ID Cliente],J164,Tabla1[Tipo de Documento],'Tabla dinamica'!$T$3,Tabla1[Estado_vigencia],"Vencido"))</f>
        <v/>
      </c>
      <c r="O164" s="24" t="str">
        <f ca="1">IF($R164="","",COUNTIFS(Tabla1[ID Cliente],J164,Tabla1[Tipo de Documento],'Tabla dinamica'!$T$3,Tabla1[Estado_vigencia],"Alerta"))</f>
        <v/>
      </c>
      <c r="P164" s="26" t="str">
        <f ca="1">IF(OR($R164="",N(K164)=0),"",COUNTIFS(Tabla1[ID Cliente],J164,Tabla1[Tipo de Documento],'Tabla dinamica'!$T$3,Tabla1[Estado de entrega],"Entregado",Tabla1[Estado_vigencia],"Vigente")/K164)</f>
        <v/>
      </c>
      <c r="R164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Row],[Estatus]]=#REF!))&gt;0)),ROWS(R$18:R164)),"")</f>
        <v/>
      </c>
    </row>
    <row r="165" spans="10:18" ht="24.95" customHeight="1">
      <c r="J165" s="24" t="str">
        <f ca="1">IF($R165="","",INDEX(TablaClientes[ID Cliente],$R165)&amp;"")</f>
        <v/>
      </c>
      <c r="K165" s="24" t="str">
        <f ca="1">IF($R165="","",COUNTIFS(Tabla1[ID Cliente],J165,Tabla1[Tipo de Documento],'Tabla dinamica'!$T$3))</f>
        <v/>
      </c>
      <c r="L165" s="24" t="str">
        <f ca="1">IF($R165="","",COUNTIFS(Tabla1[ID Cliente],J165,Tabla1[Tipo de Documento],'Tabla dinamica'!$T$3,Tabla1[Estado de entrega],"Entregado"))</f>
        <v/>
      </c>
      <c r="M165" s="24" t="str">
        <f ca="1">IF($R165="","",COUNTIFS(Tabla1[ID Cliente],J165,Tabla1[Tipo de Documento],'Tabla dinamica'!$T$3,Tabla1[Estado de entrega],"Pendiente"))</f>
        <v/>
      </c>
      <c r="N165" s="24" t="str">
        <f ca="1">IF($R165="","",COUNTIFS(Tabla1[ID Cliente],J165,Tabla1[Tipo de Documento],'Tabla dinamica'!$T$3,Tabla1[Estado_vigencia],"Vencido"))</f>
        <v/>
      </c>
      <c r="O165" s="24" t="str">
        <f ca="1">IF($R165="","",COUNTIFS(Tabla1[ID Cliente],J165,Tabla1[Tipo de Documento],'Tabla dinamica'!$T$3,Tabla1[Estado_vigencia],"Alerta"))</f>
        <v/>
      </c>
      <c r="P165" s="26" t="str">
        <f ca="1">IF(OR($R165="",N(K165)=0),"",COUNTIFS(Tabla1[ID Cliente],J165,Tabla1[Tipo de Documento],'Tabla dinamica'!$T$3,Tabla1[Estado de entrega],"Entregado",Tabla1[Estado_vigencia],"Vigente")/K165)</f>
        <v/>
      </c>
      <c r="R165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Row],[Estatus]]=#REF!))&gt;0)),ROWS(R$18:R165)),"")</f>
        <v/>
      </c>
    </row>
    <row r="166" spans="10:18" ht="24.95" customHeight="1">
      <c r="J166" s="24" t="str">
        <f ca="1">IF($R166="","",INDEX(TablaClientes[ID Cliente],$R166)&amp;"")</f>
        <v/>
      </c>
      <c r="K166" s="24" t="str">
        <f ca="1">IF($R166="","",COUNTIFS(Tabla1[ID Cliente],J166,Tabla1[Tipo de Documento],'Tabla dinamica'!$T$3))</f>
        <v/>
      </c>
      <c r="L166" s="24" t="str">
        <f ca="1">IF($R166="","",COUNTIFS(Tabla1[ID Cliente],J166,Tabla1[Tipo de Documento],'Tabla dinamica'!$T$3,Tabla1[Estado de entrega],"Entregado"))</f>
        <v/>
      </c>
      <c r="M166" s="24" t="str">
        <f ca="1">IF($R166="","",COUNTIFS(Tabla1[ID Cliente],J166,Tabla1[Tipo de Documento],'Tabla dinamica'!$T$3,Tabla1[Estado de entrega],"Pendiente"))</f>
        <v/>
      </c>
      <c r="N166" s="24" t="str">
        <f ca="1">IF($R166="","",COUNTIFS(Tabla1[ID Cliente],J166,Tabla1[Tipo de Documento],'Tabla dinamica'!$T$3,Tabla1[Estado_vigencia],"Vencido"))</f>
        <v/>
      </c>
      <c r="O166" s="24" t="str">
        <f ca="1">IF($R166="","",COUNTIFS(Tabla1[ID Cliente],J166,Tabla1[Tipo de Documento],'Tabla dinamica'!$T$3,Tabla1[Estado_vigencia],"Alerta"))</f>
        <v/>
      </c>
      <c r="P166" s="26" t="str">
        <f ca="1">IF(OR($R166="",N(K166)=0),"",COUNTIFS(Tabla1[ID Cliente],J166,Tabla1[Tipo de Documento],'Tabla dinamica'!$T$3,Tabla1[Estado de entrega],"Entregado",Tabla1[Estado_vigencia],"Vigente")/K166)</f>
        <v/>
      </c>
      <c r="R166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Row],[Estatus]]=#REF!))&gt;0)),ROWS(R$18:R166)),"")</f>
        <v/>
      </c>
    </row>
    <row r="167" spans="10:18" ht="24.95" customHeight="1">
      <c r="J167" s="24" t="str">
        <f ca="1">IF($R167="","",INDEX(TablaClientes[ID Cliente],$R167)&amp;"")</f>
        <v/>
      </c>
      <c r="K167" s="24" t="str">
        <f ca="1">IF($R167="","",COUNTIFS(Tabla1[ID Cliente],J167,Tabla1[Tipo de Documento],'Tabla dinamica'!$T$3))</f>
        <v/>
      </c>
      <c r="L167" s="24" t="str">
        <f ca="1">IF($R167="","",COUNTIFS(Tabla1[ID Cliente],J167,Tabla1[Tipo de Documento],'Tabla dinamica'!$T$3,Tabla1[Estado de entrega],"Entregado"))</f>
        <v/>
      </c>
      <c r="M167" s="24" t="str">
        <f ca="1">IF($R167="","",COUNTIFS(Tabla1[ID Cliente],J167,Tabla1[Tipo de Documento],'Tabla dinamica'!$T$3,Tabla1[Estado de entrega],"Pendiente"))</f>
        <v/>
      </c>
      <c r="N167" s="24" t="str">
        <f ca="1">IF($R167="","",COUNTIFS(Tabla1[ID Cliente],J167,Tabla1[Tipo de Documento],'Tabla dinamica'!$T$3,Tabla1[Estado_vigencia],"Vencido"))</f>
        <v/>
      </c>
      <c r="O167" s="24" t="str">
        <f ca="1">IF($R167="","",COUNTIFS(Tabla1[ID Cliente],J167,Tabla1[Tipo de Documento],'Tabla dinamica'!$T$3,Tabla1[Estado_vigencia],"Alerta"))</f>
        <v/>
      </c>
      <c r="P167" s="26" t="str">
        <f ca="1">IF(OR($R167="",N(K167)=0),"",COUNTIFS(Tabla1[ID Cliente],J167,Tabla1[Tipo de Documento],'Tabla dinamica'!$T$3,Tabla1[Estado de entrega],"Entregado",Tabla1[Estado_vigencia],"Vigente")/K167)</f>
        <v/>
      </c>
      <c r="R167" s="31" t="str">
        <f ca="1">IFERROR(_xludf.AGGREGATE(15,6,(ROW(TablaClientes[ID Cliente])-MIN(ROW(TablaClientes[ID Cliente]))+1)/((TablaClientes[[#This Row],[ID Cliente]]&lt;&gt;"")*(((OR(#REF!="",#REF!="(Todos)"))+(TablaClientes[[#This Row],[Estatus]]=#REF!))&gt;0)),ROWS(R$18:R167)),"")</f>
        <v/>
      </c>
    </row>
    <row r="169" spans="10:18" ht="24.95" customHeight="1">
      <c r="J169" s="30" t="s">
        <v>52</v>
      </c>
    </row>
  </sheetData>
  <mergeCells count="7">
    <mergeCell ref="H15:I15"/>
    <mergeCell ref="H12:I13"/>
    <mergeCell ref="H16:I16"/>
    <mergeCell ref="B16:E16"/>
    <mergeCell ref="D12:E12"/>
    <mergeCell ref="D13:E13"/>
    <mergeCell ref="B15:E15"/>
  </mergeCells>
  <conditionalFormatting sqref="B13:K13">
    <cfRule type="expression" dxfId="31" priority="2">
      <formula>AND(B13&lt;&gt;"",B13&lt;&gt;"(Todos)")</formula>
    </cfRule>
  </conditionalFormatting>
  <conditionalFormatting sqref="E18:E168 F18:F20">
    <cfRule type="cellIs" dxfId="30" priority="3" operator="equal">
      <formula>"Vencido"</formula>
    </cfRule>
    <cfRule type="cellIs" dxfId="29" priority="4" operator="equal">
      <formula>"Alerta"</formula>
    </cfRule>
  </conditionalFormatting>
  <conditionalFormatting sqref="D18:D168">
    <cfRule type="expression" dxfId="28" priority="5">
      <formula>AND(ISNUMBER(D18),D18&lt;0)</formula>
    </cfRule>
    <cfRule type="expression" dxfId="27" priority="6">
      <formula>AND(ISNUMBER(D18),D18&gt;=0)</formula>
    </cfRule>
  </conditionalFormatting>
  <conditionalFormatting sqref="K19:K20">
    <cfRule type="cellIs" dxfId="26" priority="7" operator="equal">
      <formula>"Activo"</formula>
    </cfRule>
    <cfRule type="cellIs" dxfId="25" priority="8" operator="equal">
      <formula>"Inactivo"</formula>
    </cfRule>
  </conditionalFormatting>
  <conditionalFormatting sqref="M21:M168 N19:N20">
    <cfRule type="expression" dxfId="24" priority="9">
      <formula>AND(ISNUMBER(M19),M19&gt;0)</formula>
    </cfRule>
    <cfRule type="expression" dxfId="23" priority="10">
      <formula>AND(ISNUMBER(M19),M19=0)</formula>
    </cfRule>
  </conditionalFormatting>
  <conditionalFormatting sqref="N21:N168 O19:O20">
    <cfRule type="expression" dxfId="22" priority="11">
      <formula>AND(ISNUMBER(N19),N19&gt;0)</formula>
    </cfRule>
    <cfRule type="expression" dxfId="21" priority="12">
      <formula>AND(ISNUMBER(N19),N19=0)</formula>
    </cfRule>
  </conditionalFormatting>
  <conditionalFormatting sqref="O21:O168 P19:P20">
    <cfRule type="expression" dxfId="20" priority="13">
      <formula>AND(ISNUMBER(O19),O19&gt;0)</formula>
    </cfRule>
    <cfRule type="expression" dxfId="19" priority="14">
      <formula>AND(ISNUMBER(O19),O19=0)</formula>
    </cfRule>
  </conditionalFormatting>
  <conditionalFormatting sqref="P21:P168 Q19:Q20">
    <cfRule type="expression" dxfId="18" priority="16">
      <formula>AND(ISNUMBER(P19),P19&gt;=1)</formula>
    </cfRule>
    <cfRule type="dataBar" priority="17">
      <dataBar>
        <cfvo type="num" val="0"/>
        <cfvo type="num" val="1"/>
        <color rgb="FF8A4A12"/>
      </dataBar>
    </cfRule>
  </conditionalFormatting>
  <conditionalFormatting sqref="B18:E168 F18:F20">
    <cfRule type="expression" dxfId="17" priority="19">
      <formula>$B18&lt;&gt;""</formula>
    </cfRule>
  </conditionalFormatting>
  <conditionalFormatting sqref="G21:H168">
    <cfRule type="expression" dxfId="16" priority="20">
      <formula>$G21&lt;&gt;""</formula>
    </cfRule>
  </conditionalFormatting>
  <conditionalFormatting sqref="J21:P168">
    <cfRule type="expression" dxfId="15" priority="21">
      <formula>$J21&lt;&gt;""</formula>
    </cfRule>
  </conditionalFormatting>
  <conditionalFormatting sqref="H18:I20">
    <cfRule type="expression" dxfId="14" priority="139">
      <formula>$H18&lt;&gt;""</formula>
    </cfRule>
  </conditionalFormatting>
  <conditionalFormatting sqref="K21:O168">
    <cfRule type="expression" dxfId="13" priority="144">
      <formula>#REF!="Inactivo"</formula>
    </cfRule>
  </conditionalFormatting>
  <conditionalFormatting sqref="K19:P20">
    <cfRule type="expression" dxfId="12" priority="147">
      <formula>$K19="Inactivo"</formula>
    </cfRule>
  </conditionalFormatting>
  <conditionalFormatting sqref="K19:Q20">
    <cfRule type="expression" dxfId="11" priority="148">
      <formula>#REF!&lt;&gt;""</formula>
    </cfRule>
  </conditionalFormatting>
  <dataValidations disablePrompts="1" count="1">
    <dataValidation type="list" allowBlank="1" showInputMessage="1" showErrorMessage="1" errorTitle="Valor no válido" error="Seleccione una opción de la lista." promptTitle="Tipo de documento" prompt="Filtra las tres listas por tipo de documento." sqref="C13" xr:uid="{00000000-0002-0000-0200-000001000000}">
      <formula1>ListaDocumentos</formula1>
    </dataValidation>
  </dataValidations>
  <pageMargins left="0.7" right="0.7" top="0.75" bottom="0.75" header="0.3" footer="0.3"/>
  <pageSetup scale="48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errorTitle="Valor no válido" error="Seleccione una opción de la lista." promptTitle="Estado de vigencia" prompt="Filtra la lista de vigencia: Vencido / Alerta." xr:uid="{00000000-0002-0000-0200-000000000000}">
          <x14:formula1>
            <xm:f>'Tabla dinamica'!$O$3:$O$5</xm:f>
          </x14:formula1>
          <xm:sqref>B13</xm:sqref>
        </x14:dataValidation>
        <x14:dataValidation type="list" allowBlank="1" showInputMessage="1" showErrorMessage="1" errorTitle="Valor no válido" error="Seleccione una opción de la lista." promptTitle="Rango de días" prompt="Vencidos o que vencen en los próximos 7, 15 o 30 días." xr:uid="{00000000-0002-0000-0200-000002000000}">
          <x14:formula1>
            <xm:f>'Tabla dinamica'!$Q$3:$Q$7</xm:f>
          </x14:formula1>
          <xm:sqref>D13:F13</xm:sqref>
        </x14:dataValidation>
        <x14:dataValidation type="list" allowBlank="1" showInputMessage="1" showErrorMessage="1" errorTitle="Valor no válido" error="Seleccione una opción de la lista." promptTitle="Estatus cliente" prompt="Filtra el resumen: Activo / Inactivo." xr:uid="{00000000-0002-0000-0200-000003000000}">
          <x14:formula1>
            <xm:f>'Tabla dinamica'!$S$3:$S$5</xm:f>
          </x14:formula1>
          <xm:sqref>K13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0841A"/>
    <pageSetUpPr fitToPage="1"/>
  </sheetPr>
  <dimension ref="B1:I60"/>
  <sheetViews>
    <sheetView showGridLines="0" topLeftCell="A6" zoomScale="90" zoomScaleNormal="90" workbookViewId="0">
      <selection activeCell="C7" sqref="C7"/>
    </sheetView>
  </sheetViews>
  <sheetFormatPr baseColWidth="10" defaultColWidth="35.28515625" defaultRowHeight="15"/>
  <cols>
    <col min="1" max="1" width="3" style="14" customWidth="1"/>
    <col min="2" max="2" width="5" style="14" customWidth="1"/>
    <col min="3" max="3" width="54" style="14" customWidth="1"/>
    <col min="4" max="4" width="26" style="14" customWidth="1"/>
    <col min="5" max="6" width="16" style="14" customWidth="1"/>
    <col min="7" max="7" width="19.42578125" style="14" customWidth="1"/>
    <col min="8" max="8" width="35.28515625" style="14"/>
    <col min="9" max="9" width="35.28515625" style="31"/>
    <col min="10" max="16384" width="35.28515625" style="14"/>
  </cols>
  <sheetData>
    <row r="1" spans="2:9" ht="9.9499999999999993" customHeight="1"/>
    <row r="2" spans="2:9" ht="33.950000000000003" customHeight="1">
      <c r="C2" s="15" t="s">
        <v>53</v>
      </c>
      <c r="G2" s="17" t="s">
        <v>40</v>
      </c>
    </row>
    <row r="3" spans="2:9" ht="18" customHeight="1">
      <c r="C3" s="16" t="s">
        <v>54</v>
      </c>
      <c r="G3" s="18">
        <f ca="1">TODAY()</f>
        <v>46317</v>
      </c>
    </row>
    <row r="4" spans="2:9" ht="3.95" customHeight="1">
      <c r="B4" s="19"/>
      <c r="C4" s="19"/>
      <c r="D4" s="19"/>
      <c r="E4" s="19"/>
      <c r="F4" s="19"/>
      <c r="G4" s="19"/>
    </row>
    <row r="5" spans="2:9" ht="12" customHeight="1"/>
    <row r="6" spans="2:9" ht="14.1" customHeight="1">
      <c r="C6" s="28" t="s">
        <v>55</v>
      </c>
      <c r="D6" s="28" t="s">
        <v>56</v>
      </c>
      <c r="E6" s="62" t="s">
        <v>57</v>
      </c>
      <c r="F6" s="61"/>
      <c r="G6" s="61"/>
    </row>
    <row r="7" spans="2:9" ht="26.1" customHeight="1">
      <c r="C7" s="40" t="s">
        <v>89</v>
      </c>
      <c r="D7" s="41" t="str">
        <f>IFERROR(INDEX(TablaClientes[Estatus],MATCH($I$7,TablaClientes[ID Cliente],0)),"")</f>
        <v/>
      </c>
      <c r="E7" s="64" t="str">
        <f ca="1">IFERROR(_xlfn.MINIFS(Tabla1[Fecha Vencimiento],Tabla1[ID Cliente],$I$7,Tabla1[Fecha Vencimiento],"&gt;="&amp;TODAY())/(_xlfn.MINIFS(Tabla1[Fecha Vencimiento],Tabla1[ID Cliente],$I$7,Tabla1[Fecha Vencimiento],"&gt;="&amp;TODAY())&gt;0),"Sin próximos")</f>
        <v>Sin próximos</v>
      </c>
      <c r="F7" s="61"/>
      <c r="G7" s="61"/>
      <c r="I7" s="31" t="str">
        <f>IFERROR(LEFT(C7,FIND(" · ",C7)-1),"")</f>
        <v/>
      </c>
    </row>
    <row r="8" spans="2:9" ht="9.9499999999999993" customHeight="1"/>
    <row r="9" spans="2:9" ht="21.95" customHeight="1">
      <c r="C9" s="32" t="s">
        <v>58</v>
      </c>
      <c r="D9" s="32" t="s">
        <v>59</v>
      </c>
      <c r="E9" s="32" t="s">
        <v>60</v>
      </c>
      <c r="F9" s="32" t="s">
        <v>61</v>
      </c>
      <c r="G9" s="32" t="s">
        <v>62</v>
      </c>
      <c r="I9" s="31">
        <f>COUNTIFS(Tabla1[ID Cliente],$I$7)</f>
        <v>1</v>
      </c>
    </row>
    <row r="10" spans="2:9" ht="36" customHeight="1">
      <c r="C10" s="33">
        <f>IF(I9=0,0,I10/I9)</f>
        <v>0</v>
      </c>
      <c r="D10" s="34">
        <f>COUNTIFS(Tabla1[ID Cliente],$I$7,Tabla1[Estado de entrega],"Entregado")</f>
        <v>0</v>
      </c>
      <c r="E10" s="35">
        <f>COUNTIFS(Tabla1[ID Cliente],$I$7,Tabla1[Estado de entrega],"Pendiente")</f>
        <v>0</v>
      </c>
      <c r="F10" s="36">
        <f>COUNTIFS(Tabla1[ID Cliente],$I$7,Tabla1[Estado_vigencia],"Vencido")</f>
        <v>0</v>
      </c>
      <c r="G10" s="37">
        <f>COUNTIFS(Tabla1[ID Cliente],$I$7,Tabla1[Estado_vigencia],"Alerta")</f>
        <v>0</v>
      </c>
      <c r="I10" s="31">
        <f>COUNTIFS(Tabla1[ID Cliente],$I$7,Tabla1[Estado de entrega],"Entregado",Tabla1[Estado_vigencia],"Vigente")</f>
        <v>0</v>
      </c>
    </row>
    <row r="11" spans="2:9" ht="20.100000000000001" customHeight="1">
      <c r="C11" s="39" t="str">
        <f>REPT("■",ROUND(C10*20,0))&amp;REPT("□",20-ROUND(C10*20,0))&amp;"   "&amp;I10&amp;" de "&amp;I9&amp;" completos"</f>
        <v>□□□□□□□□□□□□□□□□□□□□   0 de 1 completos</v>
      </c>
      <c r="D11" s="38" t="str">
        <f>"de "&amp;I9&amp;" documentos"</f>
        <v>de 1 documentos</v>
      </c>
      <c r="E11" s="38" t="str">
        <f>IF(E10=0,"Todo entregado","por entregar")</f>
        <v>Todo entregado</v>
      </c>
      <c r="F11" s="38" t="str">
        <f>IF(F10=0,"Sin vencidos","requieren renovación")</f>
        <v>Sin vencidos</v>
      </c>
      <c r="G11" s="38" t="str">
        <f>IF(G10=0,"Sin alertas","próximos 30 días")</f>
        <v>Sin alertas</v>
      </c>
    </row>
    <row r="12" spans="2:9" ht="9.9499999999999993" customHeight="1"/>
    <row r="13" spans="2:9" ht="21.95" customHeight="1">
      <c r="B13" s="57" t="s">
        <v>63</v>
      </c>
      <c r="C13" s="57"/>
      <c r="D13" s="57"/>
      <c r="E13" s="57"/>
      <c r="F13" s="57"/>
      <c r="G13" s="57"/>
    </row>
    <row r="14" spans="2:9" ht="12" customHeight="1"/>
    <row r="15" spans="2:9" ht="24" customHeight="1">
      <c r="B15" s="20" t="s">
        <v>64</v>
      </c>
      <c r="C15" s="21" t="s">
        <v>49</v>
      </c>
      <c r="D15" s="20" t="s">
        <v>65</v>
      </c>
      <c r="E15" s="20" t="s">
        <v>66</v>
      </c>
      <c r="F15" s="20" t="s">
        <v>67</v>
      </c>
      <c r="G15" s="20" t="s">
        <v>50</v>
      </c>
    </row>
    <row r="16" spans="2:9" ht="21.95" customHeight="1">
      <c r="B16" s="52"/>
      <c r="C16" s="52"/>
      <c r="D16" s="52"/>
      <c r="E16" s="52"/>
      <c r="F16" s="52"/>
      <c r="G16" s="52"/>
    </row>
    <row r="17" spans="2:9" ht="30" customHeight="1">
      <c r="B17" s="24" cm="1">
        <f t="array" ref="B17">_xlfn.SEQUENCE(COUNTA(_xlfn.ANCHORARRAY(C17)))</f>
        <v>1</v>
      </c>
      <c r="C17" s="22" t="e" cm="1">
        <f t="array" ref="C17">_xlfn._xlws.FILTER(Tabla1[Tipo de Documento], Tabla1[ID Cliente]=LEFT($C$7, SEARCH(" ", $C$7)-1), "Sin documentos registrados")</f>
        <v>#VALUE!</v>
      </c>
      <c r="D17" s="24" t="e" cm="1">
        <f t="array" ref="D17">_xlfn._xlws.FILTER(Tabla1[Estado de entrega], Tabla1[ID Cliente]=LEFT($C$7, SEARCH(" ", $C$7)-1), "")</f>
        <v>#VALUE!</v>
      </c>
      <c r="E17" s="24" t="e" cm="1">
        <f t="array" ref="E17">_xlfn._xlws.FILTER(Tabla1[Estado_vigencia], Tabla1[ID Cliente]=LEFT($C$7, SEARCH(" ", $C$7)-1), "")</f>
        <v>#VALUE!</v>
      </c>
      <c r="F17" s="27" t="e" cm="1">
        <f t="array" ref="F17">_xlfn.LET(_xlpm.fechas, _xlfn._xlws.FILTER(Tabla1[Fecha Vencimiento], Tabla1[ID Cliente]=LEFT($C$7, SEARCH(" ", $C$7)-1), ""), IF(_xlpm.fechas="", "Sin fecha", _xlpm.fechas))</f>
        <v>#VALUE!</v>
      </c>
      <c r="G17" s="25" t="e" cm="1">
        <f t="array" ref="G17">_xlfn._xlws.FILTER(Tabla1[Días para Vencer], Tabla1[ID Cliente]=LEFT($C$7, SEARCH(" ", $C$7)-1), "")</f>
        <v>#VALUE!</v>
      </c>
      <c r="I17" s="31" t="str">
        <f ca="1">IFERROR(_xludf.AGGREGATE(15,6,(ROW(Tabla1[ID Cliente])-MIN(ROW(Tabla1[ID Cliente]))+1)/(Tabla1[[#This Row],[ID Cliente]]=$I$7),ROWS(I$17:I17)),"")</f>
        <v/>
      </c>
    </row>
    <row r="18" spans="2:9" ht="30" customHeight="1">
      <c r="B18" s="24"/>
      <c r="C18" s="22"/>
      <c r="D18" s="24"/>
      <c r="E18" s="24"/>
      <c r="F18" s="27"/>
      <c r="G18" s="25"/>
      <c r="I18" s="31" t="str">
        <f ca="1">IFERROR(_xludf.AGGREGATE(15,6,(ROW(Tabla1[ID Cliente])-MIN(ROW(Tabla1[ID Cliente]))+1)/(Tabla1[[#This Row],[ID Cliente]]=$I$7),ROWS(I$17:I18)),"")</f>
        <v/>
      </c>
    </row>
    <row r="19" spans="2:9" ht="30" customHeight="1">
      <c r="B19" s="24"/>
      <c r="C19" s="22"/>
      <c r="D19" s="24"/>
      <c r="E19" s="24"/>
      <c r="F19" s="27"/>
      <c r="G19" s="25"/>
      <c r="I19" s="31" t="str">
        <f ca="1">IFERROR(_xludf.AGGREGATE(15,6,(ROW(Tabla1[ID Cliente])-MIN(ROW(Tabla1[ID Cliente]))+1)/(Tabla1[[#This Row],[ID Cliente]]=$I$7),ROWS(I$17:I19)),"")</f>
        <v/>
      </c>
    </row>
    <row r="20" spans="2:9" ht="30" customHeight="1">
      <c r="B20" s="24"/>
      <c r="C20" s="22"/>
      <c r="D20" s="24"/>
      <c r="E20" s="24"/>
      <c r="F20" s="27"/>
      <c r="G20" s="25"/>
      <c r="I20" s="31" t="str">
        <f ca="1">IFERROR(_xludf.AGGREGATE(15,6,(ROW(Tabla1[ID Cliente])-MIN(ROW(Tabla1[ID Cliente]))+1)/(Tabla1[[#This Row],[ID Cliente]]=$I$7),ROWS(I$17:I20)),"")</f>
        <v/>
      </c>
    </row>
    <row r="21" spans="2:9" ht="30" customHeight="1">
      <c r="B21" s="24"/>
      <c r="C21" s="22"/>
      <c r="D21" s="24"/>
      <c r="E21" s="24"/>
      <c r="F21" s="27"/>
      <c r="G21" s="25"/>
      <c r="I21" s="31" t="str">
        <f ca="1">IFERROR(_xludf.AGGREGATE(15,6,(ROW(Tabla1[ID Cliente])-MIN(ROW(Tabla1[ID Cliente]))+1)/(Tabla1[[#This Row],[ID Cliente]]=$I$7),ROWS(I$17:I21)),"")</f>
        <v/>
      </c>
    </row>
    <row r="22" spans="2:9" ht="30" customHeight="1">
      <c r="B22" s="24"/>
      <c r="C22" s="22"/>
      <c r="D22" s="24"/>
      <c r="E22" s="24"/>
      <c r="F22" s="27"/>
      <c r="G22" s="25"/>
      <c r="I22" s="31" t="str">
        <f ca="1">IFERROR(_xludf.AGGREGATE(15,6,(ROW(Tabla1[ID Cliente])-MIN(ROW(Tabla1[ID Cliente]))+1)/(Tabla1[[#This Row],[ID Cliente]]=$I$7),ROWS(I$17:I22)),"")</f>
        <v/>
      </c>
    </row>
    <row r="23" spans="2:9" ht="30" customHeight="1">
      <c r="B23" s="24"/>
      <c r="C23" s="22"/>
      <c r="D23" s="24"/>
      <c r="E23" s="24"/>
      <c r="F23" s="27"/>
      <c r="G23" s="25"/>
      <c r="I23" s="31" t="str">
        <f ca="1">IFERROR(_xludf.AGGREGATE(15,6,(ROW(Tabla1[ID Cliente])-MIN(ROW(Tabla1[ID Cliente]))+1)/(Tabla1[[#This Row],[ID Cliente]]=$I$7),ROWS(I$17:I23)),"")</f>
        <v/>
      </c>
    </row>
    <row r="24" spans="2:9" ht="30" customHeight="1">
      <c r="B24" s="24"/>
      <c r="C24" s="22"/>
      <c r="D24" s="24"/>
      <c r="E24" s="24"/>
      <c r="F24" s="27"/>
      <c r="G24" s="25"/>
      <c r="I24" s="31" t="str">
        <f ca="1">IFERROR(_xludf.AGGREGATE(15,6,(ROW(Tabla1[ID Cliente])-MIN(ROW(Tabla1[ID Cliente]))+1)/(Tabla1[[#This Row],[ID Cliente]]=$I$7),ROWS(I$17:I24)),"")</f>
        <v/>
      </c>
    </row>
    <row r="25" spans="2:9" ht="30" customHeight="1">
      <c r="B25" s="24"/>
      <c r="C25" s="22"/>
      <c r="D25" s="24"/>
      <c r="E25" s="24"/>
      <c r="F25" s="27"/>
      <c r="G25" s="25"/>
      <c r="I25" s="31" t="str">
        <f ca="1">IFERROR(_xludf.AGGREGATE(15,6,(ROW(Tabla1[ID Cliente])-MIN(ROW(Tabla1[ID Cliente]))+1)/(Tabla1[[#This Row],[ID Cliente]]=$I$7),ROWS(I$17:I25)),"")</f>
        <v/>
      </c>
    </row>
    <row r="26" spans="2:9" ht="30" customHeight="1">
      <c r="B26" s="24"/>
      <c r="C26" s="22"/>
      <c r="D26" s="24"/>
      <c r="E26" s="24"/>
      <c r="F26" s="27"/>
      <c r="G26" s="25"/>
      <c r="I26" s="31" t="str">
        <f ca="1">IFERROR(_xludf.AGGREGATE(15,6,(ROW(Tabla1[ID Cliente])-MIN(ROW(Tabla1[ID Cliente]))+1)/(Tabla1[[#This Row],[ID Cliente]]=$I$7),ROWS(I$17:I26)),"")</f>
        <v/>
      </c>
    </row>
    <row r="27" spans="2:9" ht="30" customHeight="1">
      <c r="B27" s="24"/>
      <c r="C27" s="22"/>
      <c r="D27" s="24"/>
      <c r="E27" s="24"/>
      <c r="F27" s="27"/>
      <c r="G27" s="25"/>
      <c r="I27" s="31" t="str">
        <f ca="1">IFERROR(_xludf.AGGREGATE(15,6,(ROW(Tabla1[ID Cliente])-MIN(ROW(Tabla1[ID Cliente]))+1)/(Tabla1[[#This Row],[ID Cliente]]=$I$7),ROWS(I$17:I27)),"")</f>
        <v/>
      </c>
    </row>
    <row r="28" spans="2:9" ht="30" customHeight="1">
      <c r="B28" s="24"/>
      <c r="C28" s="22"/>
      <c r="D28" s="24"/>
      <c r="E28" s="24"/>
      <c r="F28" s="27"/>
      <c r="G28" s="25"/>
      <c r="I28" s="31" t="str">
        <f ca="1">IFERROR(_xludf.AGGREGATE(15,6,(ROW(Tabla1[ID Cliente])-MIN(ROW(Tabla1[ID Cliente]))+1)/(Tabla1[[#This Row],[ID Cliente]]=$I$7),ROWS(I$17:I28)),"")</f>
        <v/>
      </c>
    </row>
    <row r="29" spans="2:9" ht="30" customHeight="1">
      <c r="B29" s="24"/>
      <c r="C29" s="22"/>
      <c r="D29" s="24"/>
      <c r="E29" s="24"/>
      <c r="F29" s="27"/>
      <c r="G29" s="25"/>
      <c r="I29" s="31" t="str">
        <f ca="1">IFERROR(_xludf.AGGREGATE(15,6,(ROW(Tabla1[ID Cliente])-MIN(ROW(Tabla1[ID Cliente]))+1)/(Tabla1[[#This Row],[ID Cliente]]=$I$7),ROWS(I$17:I29)),"")</f>
        <v/>
      </c>
    </row>
    <row r="30" spans="2:9" ht="30" customHeight="1">
      <c r="B30" s="24"/>
      <c r="C30" s="22"/>
      <c r="D30" s="24"/>
      <c r="E30" s="24"/>
      <c r="F30" s="27"/>
      <c r="G30" s="25"/>
      <c r="I30" s="31" t="str">
        <f ca="1">IFERROR(_xludf.AGGREGATE(15,6,(ROW(Tabla1[ID Cliente])-MIN(ROW(Tabla1[ID Cliente]))+1)/(Tabla1[[#This Row],[ID Cliente]]=$I$7),ROWS(I$17:I30)),"")</f>
        <v/>
      </c>
    </row>
    <row r="31" spans="2:9" ht="30" customHeight="1">
      <c r="B31" s="24"/>
      <c r="C31" s="22"/>
      <c r="D31" s="24"/>
      <c r="E31" s="24"/>
      <c r="F31" s="27"/>
      <c r="G31" s="25"/>
      <c r="I31" s="31" t="str">
        <f ca="1">IFERROR(_xludf.AGGREGATE(15,6,(ROW(Tabla1[ID Cliente])-MIN(ROW(Tabla1[ID Cliente]))+1)/(Tabla1[[#This Row],[ID Cliente]]=$I$7),ROWS(I$17:I31)),"")</f>
        <v/>
      </c>
    </row>
    <row r="32" spans="2:9" ht="30" customHeight="1">
      <c r="B32" s="24"/>
      <c r="C32" s="22"/>
      <c r="D32" s="24"/>
      <c r="E32" s="24"/>
      <c r="F32" s="27"/>
      <c r="G32" s="25"/>
      <c r="I32" s="31" t="str">
        <f ca="1">IFERROR(_xludf.AGGREGATE(15,6,(ROW(Tabla1[ID Cliente])-MIN(ROW(Tabla1[ID Cliente]))+1)/(Tabla1[[#This Row],[ID Cliente]]=$I$7),ROWS(I$17:I32)),"")</f>
        <v/>
      </c>
    </row>
    <row r="33" spans="2:9" ht="30" customHeight="1">
      <c r="B33" s="24"/>
      <c r="C33" s="22"/>
      <c r="D33" s="24"/>
      <c r="E33" s="24"/>
      <c r="F33" s="27"/>
      <c r="G33" s="25"/>
      <c r="I33" s="31" t="str">
        <f ca="1">IFERROR(_xludf.AGGREGATE(15,6,(ROW(Tabla1[ID Cliente])-MIN(ROW(Tabla1[ID Cliente]))+1)/(Tabla1[[#This Row],[ID Cliente]]=$I$7),ROWS(I$17:I33)),"")</f>
        <v/>
      </c>
    </row>
    <row r="34" spans="2:9" ht="30" customHeight="1">
      <c r="B34" s="24"/>
      <c r="C34" s="22"/>
      <c r="D34" s="24"/>
      <c r="E34" s="24"/>
      <c r="F34" s="27"/>
      <c r="G34" s="25"/>
      <c r="I34" s="31" t="str">
        <f ca="1">IFERROR(_xludf.AGGREGATE(15,6,(ROW(Tabla1[ID Cliente])-MIN(ROW(Tabla1[ID Cliente]))+1)/(Tabla1[[#This Row],[ID Cliente]]=$I$7),ROWS(I$17:I34)),"")</f>
        <v/>
      </c>
    </row>
    <row r="35" spans="2:9" ht="30" customHeight="1">
      <c r="B35" s="24"/>
      <c r="C35" s="22"/>
      <c r="D35" s="24"/>
      <c r="E35" s="24"/>
      <c r="F35" s="27"/>
      <c r="G35" s="25"/>
      <c r="I35" s="31" t="str">
        <f ca="1">IFERROR(_xludf.AGGREGATE(15,6,(ROW(Tabla1[ID Cliente])-MIN(ROW(Tabla1[ID Cliente]))+1)/(Tabla1[[#This Row],[ID Cliente]]=$I$7),ROWS(I$17:I35)),"")</f>
        <v/>
      </c>
    </row>
    <row r="36" spans="2:9" ht="30" customHeight="1">
      <c r="B36" s="24"/>
      <c r="C36" s="22"/>
      <c r="D36" s="24"/>
      <c r="E36" s="24"/>
      <c r="F36" s="27"/>
      <c r="G36" s="25"/>
      <c r="I36" s="31" t="str">
        <f ca="1">IFERROR(_xludf.AGGREGATE(15,6,(ROW(Tabla1[ID Cliente])-MIN(ROW(Tabla1[ID Cliente]))+1)/(Tabla1[[#This Row],[ID Cliente]]=$I$7),ROWS(I$17:I36)),"")</f>
        <v/>
      </c>
    </row>
    <row r="37" spans="2:9" ht="30" customHeight="1">
      <c r="B37" s="24"/>
      <c r="C37" s="22"/>
      <c r="D37" s="24"/>
      <c r="E37" s="24"/>
      <c r="F37" s="27"/>
      <c r="G37" s="25"/>
      <c r="I37" s="31" t="str">
        <f ca="1">IFERROR(_xludf.AGGREGATE(15,6,(ROW(Tabla1[ID Cliente])-MIN(ROW(Tabla1[ID Cliente]))+1)/(Tabla1[[#This Row],[ID Cliente]]=$I$7),ROWS(I$17:I37)),"")</f>
        <v/>
      </c>
    </row>
    <row r="38" spans="2:9" ht="30" customHeight="1">
      <c r="B38" s="24"/>
      <c r="C38" s="22"/>
      <c r="D38" s="24"/>
      <c r="E38" s="24"/>
      <c r="F38" s="27"/>
      <c r="G38" s="25"/>
      <c r="I38" s="31" t="str">
        <f ca="1">IFERROR(_xludf.AGGREGATE(15,6,(ROW(Tabla1[ID Cliente])-MIN(ROW(Tabla1[ID Cliente]))+1)/(Tabla1[[#This Row],[ID Cliente]]=$I$7),ROWS(I$17:I38)),"")</f>
        <v/>
      </c>
    </row>
    <row r="39" spans="2:9" ht="30" customHeight="1">
      <c r="B39" s="24"/>
      <c r="C39" s="22"/>
      <c r="D39" s="24"/>
      <c r="E39" s="24"/>
      <c r="F39" s="27"/>
      <c r="G39" s="25"/>
      <c r="I39" s="31" t="str">
        <f ca="1">IFERROR(_xludf.AGGREGATE(15,6,(ROW(Tabla1[ID Cliente])-MIN(ROW(Tabla1[ID Cliente]))+1)/(Tabla1[[#This Row],[ID Cliente]]=$I$7),ROWS(I$17:I39)),"")</f>
        <v/>
      </c>
    </row>
    <row r="40" spans="2:9" ht="30" customHeight="1">
      <c r="B40" s="24"/>
      <c r="C40" s="22"/>
      <c r="D40" s="24"/>
      <c r="E40" s="24"/>
      <c r="F40" s="27"/>
      <c r="G40" s="25"/>
      <c r="I40" s="31" t="str">
        <f ca="1">IFERROR(_xludf.AGGREGATE(15,6,(ROW(Tabla1[ID Cliente])-MIN(ROW(Tabla1[ID Cliente]))+1)/(Tabla1[[#This Row],[ID Cliente]]=$I$7),ROWS(I$17:I40)),"")</f>
        <v/>
      </c>
    </row>
    <row r="41" spans="2:9" ht="30" customHeight="1">
      <c r="B41" s="24"/>
      <c r="C41" s="22"/>
      <c r="D41" s="24"/>
      <c r="E41" s="24"/>
      <c r="F41" s="27"/>
      <c r="G41" s="25"/>
      <c r="I41" s="31" t="str">
        <f ca="1">IFERROR(_xludf.AGGREGATE(15,6,(ROW(Tabla1[ID Cliente])-MIN(ROW(Tabla1[ID Cliente]))+1)/(Tabla1[[#This Row],[ID Cliente]]=$I$7),ROWS(I$17:I41)),"")</f>
        <v/>
      </c>
    </row>
    <row r="42" spans="2:9" ht="30" customHeight="1">
      <c r="B42" s="24"/>
      <c r="C42" s="22"/>
      <c r="D42" s="24"/>
      <c r="E42" s="24"/>
      <c r="F42" s="27"/>
      <c r="G42" s="25"/>
      <c r="I42" s="31" t="str">
        <f ca="1">IFERROR(_xludf.AGGREGATE(15,6,(ROW(Tabla1[ID Cliente])-MIN(ROW(Tabla1[ID Cliente]))+1)/(Tabla1[[#This Row],[ID Cliente]]=$I$7),ROWS(I$17:I42)),"")</f>
        <v/>
      </c>
    </row>
    <row r="43" spans="2:9" ht="30" customHeight="1">
      <c r="B43" s="24"/>
      <c r="C43" s="22"/>
      <c r="D43" s="24"/>
      <c r="E43" s="24"/>
      <c r="F43" s="27"/>
      <c r="G43" s="25"/>
      <c r="I43" s="31" t="str">
        <f ca="1">IFERROR(_xludf.AGGREGATE(15,6,(ROW(Tabla1[ID Cliente])-MIN(ROW(Tabla1[ID Cliente]))+1)/(Tabla1[[#This Row],[ID Cliente]]=$I$7),ROWS(I$17:I43)),"")</f>
        <v/>
      </c>
    </row>
    <row r="44" spans="2:9" ht="30" customHeight="1">
      <c r="B44" s="24"/>
      <c r="C44" s="22"/>
      <c r="D44" s="24"/>
      <c r="E44" s="24"/>
      <c r="F44" s="27"/>
      <c r="G44" s="25"/>
      <c r="I44" s="31" t="str">
        <f ca="1">IFERROR(_xludf.AGGREGATE(15,6,(ROW(Tabla1[ID Cliente])-MIN(ROW(Tabla1[ID Cliente]))+1)/(Tabla1[[#This Row],[ID Cliente]]=$I$7),ROWS(I$17:I44)),"")</f>
        <v/>
      </c>
    </row>
    <row r="45" spans="2:9" ht="30" customHeight="1">
      <c r="B45" s="24"/>
      <c r="C45" s="22"/>
      <c r="D45" s="24"/>
      <c r="E45" s="24"/>
      <c r="F45" s="27"/>
      <c r="G45" s="25"/>
      <c r="I45" s="31" t="str">
        <f ca="1">IFERROR(_xludf.AGGREGATE(15,6,(ROW(Tabla1[ID Cliente])-MIN(ROW(Tabla1[ID Cliente]))+1)/(Tabla1[[#This Row],[ID Cliente]]=$I$7),ROWS(I$17:I45)),"")</f>
        <v/>
      </c>
    </row>
    <row r="46" spans="2:9" ht="30" customHeight="1">
      <c r="B46" s="24"/>
      <c r="C46" s="22"/>
      <c r="D46" s="24"/>
      <c r="E46" s="24"/>
      <c r="F46" s="27"/>
      <c r="G46" s="25"/>
      <c r="I46" s="31" t="str">
        <f ca="1">IFERROR(_xludf.AGGREGATE(15,6,(ROW(Tabla1[ID Cliente])-MIN(ROW(Tabla1[ID Cliente]))+1)/(Tabla1[[#This Row],[ID Cliente]]=$I$7),ROWS(I$17:I46)),"")</f>
        <v/>
      </c>
    </row>
    <row r="47" spans="2:9" ht="30" customHeight="1">
      <c r="B47" s="24"/>
      <c r="C47" s="22"/>
      <c r="D47" s="24"/>
      <c r="E47" s="24"/>
      <c r="F47" s="27"/>
      <c r="G47" s="25"/>
      <c r="I47" s="31" t="str">
        <f ca="1">IFERROR(_xludf.AGGREGATE(15,6,(ROW(Tabla1[ID Cliente])-MIN(ROW(Tabla1[ID Cliente]))+1)/(Tabla1[[#This Row],[ID Cliente]]=$I$7),ROWS(I$17:I47)),"")</f>
        <v/>
      </c>
    </row>
    <row r="48" spans="2:9" ht="30" customHeight="1">
      <c r="B48" s="24"/>
      <c r="C48" s="22"/>
      <c r="D48" s="24"/>
      <c r="E48" s="24"/>
      <c r="F48" s="27"/>
      <c r="G48" s="25"/>
      <c r="I48" s="31" t="str">
        <f ca="1">IFERROR(_xludf.AGGREGATE(15,6,(ROW(Tabla1[ID Cliente])-MIN(ROW(Tabla1[ID Cliente]))+1)/(Tabla1[[#This Row],[ID Cliente]]=$I$7),ROWS(I$17:I48)),"")</f>
        <v/>
      </c>
    </row>
    <row r="49" spans="2:9" ht="30" customHeight="1">
      <c r="B49" s="24"/>
      <c r="C49" s="22"/>
      <c r="D49" s="24"/>
      <c r="E49" s="24"/>
      <c r="F49" s="27"/>
      <c r="G49" s="25"/>
      <c r="I49" s="31" t="str">
        <f ca="1">IFERROR(_xludf.AGGREGATE(15,6,(ROW(Tabla1[ID Cliente])-MIN(ROW(Tabla1[ID Cliente]))+1)/(Tabla1[[#This Row],[ID Cliente]]=$I$7),ROWS(I$17:I49)),"")</f>
        <v/>
      </c>
    </row>
    <row r="50" spans="2:9" ht="30" customHeight="1">
      <c r="B50" s="24"/>
      <c r="C50" s="22"/>
      <c r="D50" s="24"/>
      <c r="E50" s="24"/>
      <c r="F50" s="27"/>
      <c r="G50" s="25"/>
      <c r="I50" s="31" t="str">
        <f ca="1">IFERROR(_xludf.AGGREGATE(15,6,(ROW(Tabla1[ID Cliente])-MIN(ROW(Tabla1[ID Cliente]))+1)/(Tabla1[[#This Row],[ID Cliente]]=$I$7),ROWS(I$17:I50)),"")</f>
        <v/>
      </c>
    </row>
    <row r="51" spans="2:9" ht="30" customHeight="1">
      <c r="B51" s="24"/>
      <c r="C51" s="22"/>
      <c r="D51" s="24"/>
      <c r="E51" s="24"/>
      <c r="F51" s="27"/>
      <c r="G51" s="25"/>
      <c r="I51" s="31" t="str">
        <f ca="1">IFERROR(_xludf.AGGREGATE(15,6,(ROW(Tabla1[ID Cliente])-MIN(ROW(Tabla1[ID Cliente]))+1)/(Tabla1[[#This Row],[ID Cliente]]=$I$7),ROWS(I$17:I51)),"")</f>
        <v/>
      </c>
    </row>
    <row r="52" spans="2:9" ht="30" customHeight="1">
      <c r="B52" s="24"/>
      <c r="C52" s="22"/>
      <c r="D52" s="24"/>
      <c r="E52" s="24"/>
      <c r="F52" s="27"/>
      <c r="G52" s="25"/>
      <c r="I52" s="31" t="str">
        <f ca="1">IFERROR(_xludf.AGGREGATE(15,6,(ROW(Tabla1[ID Cliente])-MIN(ROW(Tabla1[ID Cliente]))+1)/(Tabla1[[#This Row],[ID Cliente]]=$I$7),ROWS(I$17:I52)),"")</f>
        <v/>
      </c>
    </row>
    <row r="53" spans="2:9" ht="30" customHeight="1">
      <c r="B53" s="24"/>
      <c r="C53" s="22"/>
      <c r="D53" s="24"/>
      <c r="E53" s="24"/>
      <c r="F53" s="27"/>
      <c r="G53" s="25"/>
      <c r="I53" s="31" t="str">
        <f ca="1">IFERROR(_xludf.AGGREGATE(15,6,(ROW(Tabla1[ID Cliente])-MIN(ROW(Tabla1[ID Cliente]))+1)/(Tabla1[[#This Row],[ID Cliente]]=$I$7),ROWS(I$17:I53)),"")</f>
        <v/>
      </c>
    </row>
    <row r="54" spans="2:9" ht="30" customHeight="1">
      <c r="B54" s="24"/>
      <c r="C54" s="22"/>
      <c r="D54" s="24"/>
      <c r="E54" s="24"/>
      <c r="F54" s="27"/>
      <c r="G54" s="25"/>
      <c r="I54" s="31" t="str">
        <f ca="1">IFERROR(_xludf.AGGREGATE(15,6,(ROW(Tabla1[ID Cliente])-MIN(ROW(Tabla1[ID Cliente]))+1)/(Tabla1[[#This Row],[ID Cliente]]=$I$7),ROWS(I$17:I54)),"")</f>
        <v/>
      </c>
    </row>
    <row r="55" spans="2:9" ht="30" customHeight="1">
      <c r="B55" s="24"/>
      <c r="C55" s="22"/>
      <c r="D55" s="24"/>
      <c r="E55" s="24"/>
      <c r="F55" s="27"/>
      <c r="G55" s="25"/>
      <c r="I55" s="31" t="str">
        <f ca="1">IFERROR(_xludf.AGGREGATE(15,6,(ROW(Tabla1[ID Cliente])-MIN(ROW(Tabla1[ID Cliente]))+1)/(Tabla1[[#This Row],[ID Cliente]]=$I$7),ROWS(I$17:I55)),"")</f>
        <v/>
      </c>
    </row>
    <row r="56" spans="2:9" ht="30" customHeight="1">
      <c r="B56" s="24"/>
      <c r="C56" s="22"/>
      <c r="D56" s="24"/>
      <c r="E56" s="24"/>
      <c r="F56" s="27"/>
      <c r="G56" s="25"/>
      <c r="I56" s="31" t="str">
        <f ca="1">IFERROR(_xludf.AGGREGATE(15,6,(ROW(Tabla1[ID Cliente])-MIN(ROW(Tabla1[ID Cliente]))+1)/(Tabla1[[#This Row],[ID Cliente]]=$I$7),ROWS(I$17:I56)),"")</f>
        <v/>
      </c>
    </row>
    <row r="57" spans="2:9" ht="30" customHeight="1"/>
    <row r="58" spans="2:9" ht="30" customHeight="1"/>
    <row r="59" spans="2:9" ht="30" customHeight="1"/>
    <row r="60" spans="2:9" ht="30" customHeight="1"/>
  </sheetData>
  <mergeCells count="3">
    <mergeCell ref="E6:G6"/>
    <mergeCell ref="E7:G7"/>
    <mergeCell ref="B13:G13"/>
  </mergeCells>
  <conditionalFormatting sqref="D17:D56">
    <cfRule type="cellIs" dxfId="10" priority="22" operator="equal">
      <formula>"Pendiente"</formula>
    </cfRule>
    <cfRule type="cellIs" dxfId="9" priority="23" operator="equal">
      <formula>"Entregado"</formula>
    </cfRule>
  </conditionalFormatting>
  <conditionalFormatting sqref="E17:E56">
    <cfRule type="cellIs" dxfId="8" priority="24" operator="equal">
      <formula>"Vencido"</formula>
    </cfRule>
    <cfRule type="cellIs" dxfId="7" priority="25" operator="equal">
      <formula>"Alerta"</formula>
    </cfRule>
    <cfRule type="cellIs" dxfId="6" priority="26" operator="equal">
      <formula>"Vigente"</formula>
    </cfRule>
  </conditionalFormatting>
  <conditionalFormatting sqref="G17:G56">
    <cfRule type="expression" dxfId="5" priority="27">
      <formula>AND(ISNUMBER(G17),G17&lt;0)</formula>
    </cfRule>
    <cfRule type="expression" dxfId="4" priority="28">
      <formula>AND(ISNUMBER(G17),G17&gt;=0,G17&lt;=30)</formula>
    </cfRule>
    <cfRule type="expression" dxfId="3" priority="29">
      <formula>ISTEXT(G17)</formula>
    </cfRule>
  </conditionalFormatting>
  <conditionalFormatting sqref="D7">
    <cfRule type="cellIs" dxfId="2" priority="30" operator="equal">
      <formula>"Activo"</formula>
    </cfRule>
    <cfRule type="cellIs" dxfId="1" priority="31" operator="equal">
      <formula>"Inactivo"</formula>
    </cfRule>
  </conditionalFormatting>
  <conditionalFormatting sqref="B17:G56">
    <cfRule type="expression" dxfId="0" priority="32">
      <formula>$C17&lt;&gt;""</formula>
    </cfRule>
  </conditionalFormatting>
  <dataValidations count="1">
    <dataValidation type="list" allowBlank="1" showInputMessage="1" showErrorMessage="1" errorTitle="Valor no válido" error="Seleccione una opción de la lista." promptTitle="Cliente" prompt="Seleccione el cliente para ver su expediente." sqref="C7" xr:uid="{00000000-0002-0000-0300-000000000000}">
      <formula1>ListaClientes</formula1>
    </dataValidation>
  </dataValidations>
  <pageMargins left="0.4" right="0.4" top="0.5" bottom="0.5" header="0.3" footer="0.3"/>
  <pageSetup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CC7F-1D0A-436F-B6DC-FA6EBF11A431}">
  <sheetPr codeName="Hoja6"/>
  <dimension ref="A1:B15"/>
  <sheetViews>
    <sheetView tabSelected="1" workbookViewId="0">
      <selection activeCell="A16" sqref="A16"/>
    </sheetView>
  </sheetViews>
  <sheetFormatPr baseColWidth="10" defaultRowHeight="15"/>
  <cols>
    <col min="1" max="1" width="126.28515625" bestFit="1" customWidth="1"/>
  </cols>
  <sheetData>
    <row r="1" spans="1:2">
      <c r="A1" t="s">
        <v>49</v>
      </c>
      <c r="B1" t="s">
        <v>18</v>
      </c>
    </row>
    <row r="2" spans="1:2">
      <c r="A2" t="s">
        <v>25</v>
      </c>
      <c r="B2" t="s">
        <v>87</v>
      </c>
    </row>
    <row r="3" spans="1:2">
      <c r="A3" t="s">
        <v>26</v>
      </c>
      <c r="B3" t="s">
        <v>87</v>
      </c>
    </row>
    <row r="4" spans="1:2">
      <c r="A4" t="s">
        <v>27</v>
      </c>
      <c r="B4" t="s">
        <v>87</v>
      </c>
    </row>
    <row r="5" spans="1:2">
      <c r="A5" t="s">
        <v>28</v>
      </c>
      <c r="B5" t="s">
        <v>87</v>
      </c>
    </row>
    <row r="6" spans="1:2">
      <c r="A6" t="s">
        <v>29</v>
      </c>
      <c r="B6" t="s">
        <v>87</v>
      </c>
    </row>
    <row r="7" spans="1:2">
      <c r="A7" t="s">
        <v>30</v>
      </c>
      <c r="B7" t="s">
        <v>87</v>
      </c>
    </row>
    <row r="8" spans="1:2">
      <c r="A8" t="s">
        <v>31</v>
      </c>
      <c r="B8" t="s">
        <v>87</v>
      </c>
    </row>
    <row r="9" spans="1:2">
      <c r="A9" t="s">
        <v>32</v>
      </c>
      <c r="B9" t="s">
        <v>87</v>
      </c>
    </row>
    <row r="10" spans="1:2">
      <c r="A10" t="s">
        <v>33</v>
      </c>
      <c r="B10" t="s">
        <v>87</v>
      </c>
    </row>
    <row r="11" spans="1:2">
      <c r="A11" t="s">
        <v>34</v>
      </c>
      <c r="B11" t="s">
        <v>87</v>
      </c>
    </row>
    <row r="12" spans="1:2">
      <c r="A12" t="s">
        <v>35</v>
      </c>
      <c r="B12" t="s">
        <v>87</v>
      </c>
    </row>
    <row r="13" spans="1:2">
      <c r="A13" t="s">
        <v>36</v>
      </c>
      <c r="B13" t="s">
        <v>87</v>
      </c>
    </row>
    <row r="14" spans="1:2">
      <c r="A14" t="s">
        <v>37</v>
      </c>
      <c r="B14" t="s">
        <v>87</v>
      </c>
    </row>
    <row r="15" spans="1:2">
      <c r="A15" t="s">
        <v>38</v>
      </c>
      <c r="B15" t="s">
        <v>87</v>
      </c>
    </row>
  </sheetData>
  <dataValidations count="1">
    <dataValidation type="list" allowBlank="1" showInputMessage="1" showErrorMessage="1" sqref="B2:B15" xr:uid="{568BA552-A60D-4CF4-951C-6FE47C824179}">
      <formula1>"Si,No"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70F04-5FDD-4815-82A0-B6A1A88D6548}">
  <sheetPr codeName="Hoja2"/>
  <dimension ref="A1:U203"/>
  <sheetViews>
    <sheetView topLeftCell="L6" workbookViewId="0">
      <selection activeCell="P17" sqref="P17"/>
    </sheetView>
  </sheetViews>
  <sheetFormatPr baseColWidth="10" defaultRowHeight="15"/>
  <cols>
    <col min="1" max="1" width="11.42578125" customWidth="1"/>
    <col min="2" max="2" width="17.85546875" customWidth="1"/>
    <col min="3" max="3" width="25.42578125" customWidth="1"/>
    <col min="4" max="4" width="17.5703125" customWidth="1"/>
    <col min="5" max="10" width="11.42578125" customWidth="1"/>
    <col min="11" max="11" width="30" customWidth="1"/>
    <col min="12" max="12" width="12" customWidth="1"/>
    <col min="13" max="13" width="30" customWidth="1"/>
    <col min="14" max="14" width="3.85546875" customWidth="1"/>
    <col min="16" max="16" width="126.28515625" bestFit="1" customWidth="1"/>
  </cols>
  <sheetData>
    <row r="1" spans="1:21" ht="45">
      <c r="G1" s="5" t="s">
        <v>16</v>
      </c>
      <c r="I1" s="5" t="s">
        <v>17</v>
      </c>
    </row>
    <row r="2" spans="1:21">
      <c r="G2" t="s">
        <v>4</v>
      </c>
      <c r="I2" t="s">
        <v>18</v>
      </c>
      <c r="O2" t="s">
        <v>68</v>
      </c>
      <c r="P2" t="s">
        <v>69</v>
      </c>
      <c r="Q2" t="s">
        <v>70</v>
      </c>
      <c r="R2" t="s">
        <v>71</v>
      </c>
      <c r="S2" t="s">
        <v>72</v>
      </c>
      <c r="T2" t="s">
        <v>73</v>
      </c>
      <c r="U2" t="s">
        <v>74</v>
      </c>
    </row>
    <row r="3" spans="1:21" ht="42.75">
      <c r="A3" s="3"/>
      <c r="B3" s="3" t="s">
        <v>21</v>
      </c>
      <c r="G3" t="s">
        <v>5</v>
      </c>
      <c r="I3" t="s">
        <v>19</v>
      </c>
      <c r="K3" s="13" t="s">
        <v>75</v>
      </c>
      <c r="L3" s="13"/>
      <c r="M3" s="13"/>
      <c r="O3" t="s">
        <v>45</v>
      </c>
      <c r="P3" t="s">
        <v>45</v>
      </c>
      <c r="Q3" t="s">
        <v>45</v>
      </c>
      <c r="S3" t="s">
        <v>45</v>
      </c>
      <c r="T3" t="str">
        <f>IF(OR(Dashboard!$C$13="",Dashboard!$C$13="(Todos)"),"*",Dashboard!$C$13)</f>
        <v>*</v>
      </c>
      <c r="U3" t="str">
        <f>IFERROR(IF(INDEX(TablaClientes[ID Cliente],1)="","",INDEX(TablaClientes[ID Cliente],1)&amp;" · "&amp;INDEX(TablaClientes[Nombre Cliente],1)),"")</f>
        <v/>
      </c>
    </row>
    <row r="4" spans="1:21">
      <c r="A4" s="3"/>
      <c r="B4" s="3"/>
      <c r="K4" t="s">
        <v>76</v>
      </c>
      <c r="L4" s="11">
        <f>COUNTIF(TablaClientes[Estatus],"Activo")</f>
        <v>0</v>
      </c>
      <c r="M4" t="str">
        <f>COUNTA(TablaClientes[ID Cliente])&amp;" clientes registrados"</f>
        <v>0 clientes registrados</v>
      </c>
      <c r="O4" t="s">
        <v>11</v>
      </c>
      <c r="P4" s="44" t="str" cm="1">
        <f t="array" ref="P4">IFERROR(INDEX(TablaDocumentos[Documento],ROWS(P$4:P4)),"")</f>
        <v>Formulario "Conozca a su Cliente Persona Jurídica o Persona Natural"</v>
      </c>
      <c r="Q4" t="s">
        <v>77</v>
      </c>
      <c r="R4">
        <v>-1</v>
      </c>
      <c r="S4" t="s">
        <v>18</v>
      </c>
      <c r="U4" t="str">
        <f>IFERROR(IF(INDEX(TablaClientes[ID Cliente],2)="","",INDEX(TablaClientes[ID Cliente],2)&amp;" · "&amp;INDEX(TablaClientes[Nombre Cliente],2)),"")</f>
        <v/>
      </c>
    </row>
    <row r="5" spans="1:21">
      <c r="A5" s="3"/>
      <c r="B5" s="1" t="s">
        <v>7</v>
      </c>
      <c r="C5" t="s">
        <v>13</v>
      </c>
      <c r="K5" t="s">
        <v>78</v>
      </c>
      <c r="L5" s="11">
        <f>COUNTIFS(Tabla1[Estatus Cliente],"Activo")</f>
        <v>0</v>
      </c>
      <c r="M5" t="str">
        <f>"en expedientes activos"</f>
        <v>en expedientes activos</v>
      </c>
      <c r="O5" t="s">
        <v>10</v>
      </c>
      <c r="P5" s="44" t="str" cm="1">
        <f t="array" ref="P5">IFERROR(INDEX(TablaDocumentos[Documento],ROWS(P$4:P5)),"")</f>
        <v>Fotocopia de la Escritura de Constitución, Modificaciones al pacto social de la entidad debidamente inscrita en el Registro de Comercio.</v>
      </c>
      <c r="Q5" t="s">
        <v>79</v>
      </c>
      <c r="R5">
        <v>7</v>
      </c>
      <c r="S5" t="s">
        <v>19</v>
      </c>
      <c r="U5" t="str">
        <f>IFERROR(IF(INDEX(TablaClientes[ID Cliente],3)="","",INDEX(TablaClientes[ID Cliente],3)&amp;" · "&amp;INDEX(TablaClientes[Nombre Cliente],3)),"")</f>
        <v/>
      </c>
    </row>
    <row r="6" spans="1:21">
      <c r="A6" s="3"/>
      <c r="B6" s="2" t="s">
        <v>10</v>
      </c>
      <c r="C6">
        <v>4</v>
      </c>
      <c r="D6">
        <f>IFERROR(GETPIVOTDATA("Nombre Cliente",$B$5,"Estado_vigencia","Alerta"),"-")</f>
        <v>4</v>
      </c>
      <c r="K6" t="s">
        <v>80</v>
      </c>
      <c r="L6" s="11">
        <f>B15</f>
        <v>0</v>
      </c>
      <c r="P6" s="44" t="str" cm="1">
        <f t="array" ref="P6">IFERROR(INDEX(TablaDocumentos[Documento],ROWS(P$4:P6)),"")</f>
        <v>Fotocopia de la Escritura de Constitución y Modificaciones al pacto social de la entidad debidamente apostillada (en caso fuera extranjera)</v>
      </c>
      <c r="Q6" t="s">
        <v>81</v>
      </c>
      <c r="R6">
        <v>15</v>
      </c>
      <c r="U6" t="str">
        <f>IFERROR(IF(INDEX(TablaClientes[ID Cliente],4)="","",INDEX(TablaClientes[ID Cliente],4)&amp;" · "&amp;INDEX(TablaClientes[Nombre Cliente],4)),"")</f>
        <v/>
      </c>
    </row>
    <row r="7" spans="1:21">
      <c r="B7" s="2" t="s">
        <v>11</v>
      </c>
      <c r="C7">
        <v>1</v>
      </c>
      <c r="D7">
        <f>IFERROR(GETPIVOTDATA("Nombre Cliente",$B$5,"Estado_vigencia","Vencido"),"-")</f>
        <v>1</v>
      </c>
      <c r="K7" t="s">
        <v>82</v>
      </c>
      <c r="L7" s="12">
        <f>IF(L5=0,0,L6/L5)</f>
        <v>0</v>
      </c>
      <c r="M7" t="str">
        <f>L6&amp;" de "&amp;L5&amp;" completos"</f>
        <v>0 de 0 completos</v>
      </c>
      <c r="P7" s="44" t="str" cm="1">
        <f t="array" ref="P7">IFERROR(INDEX(TablaDocumentos[Documento],ROWS(P$4:P7)),"")</f>
        <v>Fotocopia de credencial vigente, debidamente inscrita en el Registro de Comercio del Representante o del Apoderado</v>
      </c>
      <c r="Q7" t="s">
        <v>83</v>
      </c>
      <c r="R7">
        <v>30</v>
      </c>
      <c r="U7" t="str">
        <f>IFERROR(IF(INDEX(TablaClientes[ID Cliente],5)="","",INDEX(TablaClientes[ID Cliente],5)&amp;" · "&amp;INDEX(TablaClientes[Nombre Cliente],5)),"")</f>
        <v/>
      </c>
    </row>
    <row r="8" spans="1:21">
      <c r="B8" s="2" t="s">
        <v>12</v>
      </c>
      <c r="C8">
        <v>55</v>
      </c>
      <c r="D8">
        <f>IFERROR(GETPIVOTDATA("Nombre Cliente",$B$5,"Estado_vigencia","Vigente"),"-")</f>
        <v>55</v>
      </c>
      <c r="K8" t="s">
        <v>84</v>
      </c>
      <c r="L8" s="11">
        <f>COUNTIFS(Tabla1[Estado de entrega],"Pendiente",Tabla1[Estatus Cliente],"Activo")</f>
        <v>0</v>
      </c>
      <c r="M8" t="str">
        <f>IF(L5=0,"",ROUND(L8/L5*100,0)&amp;"% del total")</f>
        <v/>
      </c>
      <c r="P8" s="44" t="str" cm="1">
        <f t="array" ref="P8">IFERROR(INDEX(TablaDocumentos[Documento],ROWS(P$4:P8)),"")</f>
        <v>Fotocopia de Tarjeta de Identificación Tributaria de la Entidad (NIT)</v>
      </c>
      <c r="U8" t="str">
        <f>IFERROR(IF(INDEX(TablaClientes[ID Cliente],6)="","",INDEX(TablaClientes[ID Cliente],6)&amp;" · "&amp;INDEX(TablaClientes[Nombre Cliente],6)),"")</f>
        <v/>
      </c>
    </row>
    <row r="9" spans="1:21">
      <c r="B9" s="2" t="s">
        <v>88</v>
      </c>
      <c r="C9">
        <v>6</v>
      </c>
      <c r="K9" t="s">
        <v>85</v>
      </c>
      <c r="L9" s="11">
        <f>COUNTIFS(Tabla1[Estado_vigencia],"Alerta",Tabla1[Estatus Cliente],"Activo")</f>
        <v>0</v>
      </c>
      <c r="M9" t="str">
        <f>IF(L9=0,"Sin alertas próximas","en los próximos 30 días")</f>
        <v>Sin alertas próximas</v>
      </c>
      <c r="P9" s="44" t="str" cm="1">
        <f t="array" ref="P9">IFERROR(INDEX(TablaDocumentos[Documento],ROWS(P$4:P9)),"")</f>
        <v>Fotocopia de Registro de Contribuyente de la Entidad (NRC)</v>
      </c>
      <c r="U9" t="str">
        <f>IFERROR(IF(INDEX(TablaClientes[ID Cliente],7)="","",INDEX(TablaClientes[ID Cliente],7)&amp;" · "&amp;INDEX(TablaClientes[Nombre Cliente],7)),"")</f>
        <v/>
      </c>
    </row>
    <row r="10" spans="1:21">
      <c r="B10" s="2" t="s">
        <v>8</v>
      </c>
      <c r="C10">
        <v>66</v>
      </c>
      <c r="K10" t="s">
        <v>77</v>
      </c>
      <c r="L10" s="11">
        <f>COUNTIFS(Tabla1[Estado_vigencia],"Vencido",Tabla1[Estatus Cliente],"Activo")</f>
        <v>0</v>
      </c>
      <c r="M10" t="str">
        <f>IF(L10=0,"Sin documentos vencidos","requieren renovación")</f>
        <v>Sin documentos vencidos</v>
      </c>
      <c r="P10" s="44" t="str" cm="1">
        <f t="array" ref="P10">IFERROR(INDEX(TablaDocumentos[Documento],ROWS(P$4:P10)),"")</f>
        <v>Original o fotocopia de Comprobante de Domicilio de la Entidad (Recibo de Agua, Luz o Teléfono con antigüedad no mayor a 6 meses)</v>
      </c>
      <c r="U10" t="str">
        <f>IFERROR(IF(INDEX(TablaClientes[ID Cliente],8)="","",INDEX(TablaClientes[ID Cliente],8)&amp;" · "&amp;INDEX(TablaClientes[Nombre Cliente],8)),"")</f>
        <v/>
      </c>
    </row>
    <row r="11" spans="1:21">
      <c r="P11" s="44" t="str" cm="1">
        <f t="array" ref="P11">IFERROR(INDEX(TablaDocumentos[Documento],ROWS(P$4:P11)),"")</f>
        <v>Fotocopia de Tarjeta de Identificación Tributaria (NIT) del Representante Legal o Apoderado (Extranjeros)</v>
      </c>
      <c r="U11" t="str">
        <f>IFERROR(IF(INDEX(TablaClientes[ID Cliente],9)="","",INDEX(TablaClientes[ID Cliente],9)&amp;" · "&amp;INDEX(TablaClientes[Nombre Cliente],9)),"")</f>
        <v/>
      </c>
    </row>
    <row r="12" spans="1:21">
      <c r="P12" s="44" t="str" cm="1">
        <f t="array" ref="P12">IFERROR(INDEX(TablaDocumentos[Documento],ROWS(P$4:P12)),"")</f>
        <v>Fotocopia de Documento Unico de Identidad (DUI) vigente y legible Pasaporte o Carnet de Residente del Representante Legal</v>
      </c>
      <c r="U12" t="str">
        <f>IFERROR(IF(INDEX(TablaClientes[ID Cliente],10)="","",INDEX(TablaClientes[ID Cliente],10)&amp;" · "&amp;INDEX(TablaClientes[Nombre Cliente],10)),"")</f>
        <v/>
      </c>
    </row>
    <row r="13" spans="1:21" ht="9.75" customHeight="1">
      <c r="P13" s="44" t="str" cm="1">
        <f t="array" ref="P13">IFERROR(INDEX(TablaDocumentos[Documento],ROWS(P$4:P13)),"")</f>
        <v>Fotocopia de poder otorgado a favor de la persona compareciente a la comprar o servicio solicitado (cuando aplique)</v>
      </c>
      <c r="U13" t="str">
        <f>IFERROR(IF(INDEX(TablaClientes[ID Cliente],11)="","",INDEX(TablaClientes[ID Cliente],11)&amp;" · "&amp;INDEX(TablaClientes[Nombre Cliente],11)),"")</f>
        <v/>
      </c>
    </row>
    <row r="14" spans="1:21" ht="81" customHeight="1">
      <c r="B14" s="7" t="s">
        <v>22</v>
      </c>
      <c r="C14" s="7" t="s">
        <v>24</v>
      </c>
      <c r="D14" s="7" t="s">
        <v>23</v>
      </c>
      <c r="P14" s="44" t="str" cm="1">
        <f t="array" ref="P14">IFERROR(INDEX(TablaDocumentos[Documento],ROWS(P$4:P14)),"")</f>
        <v>Solicitud de Crédito</v>
      </c>
      <c r="U14" t="str">
        <f>IFERROR(IF(INDEX(TablaClientes[ID Cliente],12)="","",INDEX(TablaClientes[ID Cliente],12)&amp;" · "&amp;INDEX(TablaClientes[Nombre Cliente],12)),"")</f>
        <v/>
      </c>
    </row>
    <row r="15" spans="1:21">
      <c r="B15" s="6">
        <f>COUNTIFS(Tabla1[Estado de entrega], "Entregado", Tabla1[Estado_vigencia], "Vigente", Tabla1[Estatus Cliente], "Activo")</f>
        <v>0</v>
      </c>
      <c r="C15">
        <f>COUNTA(Tabla1[Nombre Cliente])</f>
        <v>0</v>
      </c>
      <c r="D15">
        <f>C15-B15</f>
        <v>0</v>
      </c>
      <c r="P15" s="44" t="str" cm="1">
        <f t="array" ref="P15">IFERROR(INDEX(TablaDocumentos[Documento],ROWS(P$4:P15)),"")</f>
        <v>Oferta de Servicios firmada</v>
      </c>
      <c r="U15" t="str">
        <f>IFERROR(IF(INDEX(TablaClientes[ID Cliente],13)="","",INDEX(TablaClientes[ID Cliente],13)&amp;" · "&amp;INDEX(TablaClientes[Nombre Cliente],13)),"")</f>
        <v/>
      </c>
    </row>
    <row r="16" spans="1:21">
      <c r="B16" s="8" t="e">
        <f>B15/C15</f>
        <v>#DIV/0!</v>
      </c>
      <c r="D16" s="9" t="e">
        <f>D15/C15</f>
        <v>#DIV/0!</v>
      </c>
      <c r="P16" s="44" t="str" cm="1">
        <f t="array" ref="P16">IFERROR(INDEX(TablaDocumentos[Documento],ROWS(P$4:P16)),"")</f>
        <v>Contratos firmados</v>
      </c>
      <c r="U16" t="str">
        <f>IFERROR(IF(INDEX(TablaClientes[ID Cliente],14)="","",INDEX(TablaClientes[ID Cliente],14)&amp;" · "&amp;INDEX(TablaClientes[Nombre Cliente],14)),"")</f>
        <v/>
      </c>
    </row>
    <row r="17" spans="16:21">
      <c r="P17" s="44" t="str" cm="1">
        <f t="array" ref="P17">IFERROR(INDEX(TablaDocumentos[Documento],ROWS(P$4:P17)),"")</f>
        <v>Pagaré</v>
      </c>
      <c r="U17" t="str">
        <f>IFERROR(IF(INDEX(TablaClientes[ID Cliente],15)="","",INDEX(TablaClientes[ID Cliente],15)&amp;" · "&amp;INDEX(TablaClientes[Nombre Cliente],15)),"")</f>
        <v/>
      </c>
    </row>
    <row r="18" spans="16:21">
      <c r="P18" s="44" t="str" cm="1">
        <f t="array" ref="P18">IFERROR(INDEX(TablaDocumentos[Documento],ROWS(P$4:P18)),"")</f>
        <v/>
      </c>
      <c r="U18" t="str">
        <f>IFERROR(IF(INDEX(TablaClientes[ID Cliente],16)="","",INDEX(TablaClientes[ID Cliente],16)&amp;" · "&amp;INDEX(TablaClientes[Nombre Cliente],16)),"")</f>
        <v/>
      </c>
    </row>
    <row r="19" spans="16:21">
      <c r="P19" s="44" t="str" cm="1">
        <f t="array" ref="P19">IFERROR(INDEX(TablaDocumentos[Documento],ROWS(P$4:P19)),"")</f>
        <v/>
      </c>
      <c r="U19" t="str">
        <f>IFERROR(IF(INDEX(TablaClientes[ID Cliente],17)="","",INDEX(TablaClientes[ID Cliente],17)&amp;" · "&amp;INDEX(TablaClientes[Nombre Cliente],17)),"")</f>
        <v/>
      </c>
    </row>
    <row r="20" spans="16:21">
      <c r="P20" s="44" t="str" cm="1">
        <f t="array" ref="P20">IFERROR(INDEX(TablaDocumentos[Documento],ROWS(P$4:P20)),"")</f>
        <v/>
      </c>
      <c r="U20" t="str">
        <f>IFERROR(IF(INDEX(TablaClientes[ID Cliente],18)="","",INDEX(TablaClientes[ID Cliente],18)&amp;" · "&amp;INDEX(TablaClientes[Nombre Cliente],18)),"")</f>
        <v/>
      </c>
    </row>
    <row r="21" spans="16:21">
      <c r="P21" s="44" t="str" cm="1">
        <f t="array" ref="P21">IFERROR(INDEX(TablaDocumentos[Documento],ROWS(P$4:P21)),"")</f>
        <v/>
      </c>
      <c r="U21" t="str">
        <f>IFERROR(IF(INDEX(TablaClientes[ID Cliente],19)="","",INDEX(TablaClientes[ID Cliente],19)&amp;" · "&amp;INDEX(TablaClientes[Nombre Cliente],19)),"")</f>
        <v/>
      </c>
    </row>
    <row r="22" spans="16:21">
      <c r="P22" s="44" t="str" cm="1">
        <f t="array" ref="P22">IFERROR(INDEX(TablaDocumentos[Documento],ROWS(P$4:P22)),"")</f>
        <v/>
      </c>
      <c r="U22" t="str">
        <f>IFERROR(IF(INDEX(TablaClientes[ID Cliente],20)="","",INDEX(TablaClientes[ID Cliente],20)&amp;" · "&amp;INDEX(TablaClientes[Nombre Cliente],20)),"")</f>
        <v/>
      </c>
    </row>
    <row r="23" spans="16:21">
      <c r="P23" s="44" t="str" cm="1">
        <f t="array" ref="P23">IFERROR(INDEX(TablaDocumentos[Documento],ROWS(P$4:P23)),"")</f>
        <v/>
      </c>
      <c r="U23" t="str">
        <f>IFERROR(IF(INDEX(TablaClientes[ID Cliente],21)="","",INDEX(TablaClientes[ID Cliente],21)&amp;" · "&amp;INDEX(TablaClientes[Nombre Cliente],21)),"")</f>
        <v/>
      </c>
    </row>
    <row r="24" spans="16:21">
      <c r="P24" s="44" t="str" cm="1">
        <f t="array" ref="P24">IFERROR(INDEX(TablaDocumentos[Documento],ROWS(P$4:P24)),"")</f>
        <v/>
      </c>
      <c r="U24" t="str">
        <f>IFERROR(IF(INDEX(TablaClientes[ID Cliente],22)="","",INDEX(TablaClientes[ID Cliente],22)&amp;" · "&amp;INDEX(TablaClientes[Nombre Cliente],22)),"")</f>
        <v/>
      </c>
    </row>
    <row r="25" spans="16:21">
      <c r="P25" s="44" t="str" cm="1">
        <f t="array" ref="P25">IFERROR(INDEX(TablaDocumentos[Documento],ROWS(P$4:P25)),"")</f>
        <v/>
      </c>
      <c r="U25" t="str">
        <f>IFERROR(IF(INDEX(TablaClientes[ID Cliente],23)="","",INDEX(TablaClientes[ID Cliente],23)&amp;" · "&amp;INDEX(TablaClientes[Nombre Cliente],23)),"")</f>
        <v/>
      </c>
    </row>
    <row r="26" spans="16:21">
      <c r="P26" s="44" t="str" cm="1">
        <f t="array" ref="P26">IFERROR(INDEX(TablaDocumentos[Documento],ROWS(P$4:P26)),"")</f>
        <v/>
      </c>
      <c r="U26" t="str">
        <f>IFERROR(IF(INDEX(TablaClientes[ID Cliente],24)="","",INDEX(TablaClientes[ID Cliente],24)&amp;" · "&amp;INDEX(TablaClientes[Nombre Cliente],24)),"")</f>
        <v/>
      </c>
    </row>
    <row r="27" spans="16:21">
      <c r="P27" s="44" t="str" cm="1">
        <f t="array" ref="P27">IFERROR(INDEX(TablaDocumentos[Documento],ROWS(P$4:P27)),"")</f>
        <v/>
      </c>
      <c r="U27" t="str">
        <f>IFERROR(IF(INDEX(TablaClientes[ID Cliente],25)="","",INDEX(TablaClientes[ID Cliente],25)&amp;" · "&amp;INDEX(TablaClientes[Nombre Cliente],25)),"")</f>
        <v/>
      </c>
    </row>
    <row r="28" spans="16:21">
      <c r="P28" s="44" t="str" cm="1">
        <f t="array" ref="P28">IFERROR(INDEX(TablaDocumentos[Documento],ROWS(P$4:P28)),"")</f>
        <v/>
      </c>
      <c r="U28" t="str">
        <f>IFERROR(IF(INDEX(TablaClientes[ID Cliente],26)="","",INDEX(TablaClientes[ID Cliente],26)&amp;" · "&amp;INDEX(TablaClientes[Nombre Cliente],26)),"")</f>
        <v/>
      </c>
    </row>
    <row r="29" spans="16:21">
      <c r="P29" s="44" t="str" cm="1">
        <f t="array" ref="P29">IFERROR(INDEX(TablaDocumentos[Documento],ROWS(P$4:P29)),"")</f>
        <v/>
      </c>
      <c r="U29" t="str">
        <f>IFERROR(IF(INDEX(TablaClientes[ID Cliente],27)="","",INDEX(TablaClientes[ID Cliente],27)&amp;" · "&amp;INDEX(TablaClientes[Nombre Cliente],27)),"")</f>
        <v/>
      </c>
    </row>
    <row r="30" spans="16:21">
      <c r="P30" s="44" t="str" cm="1">
        <f t="array" ref="P30">IFERROR(INDEX(TablaDocumentos[Documento],ROWS(P$4:P30)),"")</f>
        <v/>
      </c>
      <c r="U30" t="str">
        <f>IFERROR(IF(INDEX(TablaClientes[ID Cliente],28)="","",INDEX(TablaClientes[ID Cliente],28)&amp;" · "&amp;INDEX(TablaClientes[Nombre Cliente],28)),"")</f>
        <v/>
      </c>
    </row>
    <row r="31" spans="16:21">
      <c r="P31" s="44" t="str" cm="1">
        <f t="array" ref="P31">IFERROR(INDEX(TablaDocumentos[Documento],ROWS(P$4:P31)),"")</f>
        <v/>
      </c>
      <c r="U31" t="str">
        <f>IFERROR(IF(INDEX(TablaClientes[ID Cliente],29)="","",INDEX(TablaClientes[ID Cliente],29)&amp;" · "&amp;INDEX(TablaClientes[Nombre Cliente],29)),"")</f>
        <v/>
      </c>
    </row>
    <row r="32" spans="16:21">
      <c r="P32" s="44" t="str" cm="1">
        <f t="array" ref="P32">IFERROR(INDEX(TablaDocumentos[Documento],ROWS(P$4:P32)),"")</f>
        <v/>
      </c>
      <c r="U32" t="str">
        <f>IFERROR(IF(INDEX(TablaClientes[ID Cliente],30)="","",INDEX(TablaClientes[ID Cliente],30)&amp;" · "&amp;INDEX(TablaClientes[Nombre Cliente],30)),"")</f>
        <v/>
      </c>
    </row>
    <row r="33" spans="16:21">
      <c r="P33" s="44" t="str" cm="1">
        <f t="array" ref="P33">IFERROR(INDEX(TablaDocumentos[Documento],ROWS(P$4:P33)),"")</f>
        <v/>
      </c>
      <c r="U33" t="str">
        <f>IFERROR(IF(INDEX(TablaClientes[ID Cliente],31)="","",INDEX(TablaClientes[ID Cliente],31)&amp;" · "&amp;INDEX(TablaClientes[Nombre Cliente],31)),"")</f>
        <v/>
      </c>
    </row>
    <row r="34" spans="16:21">
      <c r="P34" s="44" t="str" cm="1">
        <f t="array" ref="P34">IFERROR(INDEX(TablaDocumentos[Documento],ROWS(P$4:P34)),"")</f>
        <v/>
      </c>
      <c r="U34" t="str">
        <f>IFERROR(IF(INDEX(TablaClientes[ID Cliente],32)="","",INDEX(TablaClientes[ID Cliente],32)&amp;" · "&amp;INDEX(TablaClientes[Nombre Cliente],32)),"")</f>
        <v/>
      </c>
    </row>
    <row r="35" spans="16:21">
      <c r="P35" s="44" t="str" cm="1">
        <f t="array" ref="P35">IFERROR(INDEX(TablaDocumentos[Documento],ROWS(P$4:P35)),"")</f>
        <v/>
      </c>
      <c r="U35" t="str">
        <f>IFERROR(IF(INDEX(TablaClientes[ID Cliente],33)="","",INDEX(TablaClientes[ID Cliente],33)&amp;" · "&amp;INDEX(TablaClientes[Nombre Cliente],33)),"")</f>
        <v/>
      </c>
    </row>
    <row r="36" spans="16:21">
      <c r="P36" s="44" t="str" cm="1">
        <f t="array" ref="P36">IFERROR(INDEX(TablaDocumentos[Documento],ROWS(P$4:P36)),"")</f>
        <v/>
      </c>
      <c r="U36" t="str">
        <f>IFERROR(IF(INDEX(TablaClientes[ID Cliente],34)="","",INDEX(TablaClientes[ID Cliente],34)&amp;" · "&amp;INDEX(TablaClientes[Nombre Cliente],34)),"")</f>
        <v/>
      </c>
    </row>
    <row r="37" spans="16:21">
      <c r="P37" s="44" t="str" cm="1">
        <f t="array" ref="P37">IFERROR(INDEX(TablaDocumentos[Documento],ROWS(P$4:P37)),"")</f>
        <v/>
      </c>
      <c r="U37" t="str">
        <f>IFERROR(IF(INDEX(TablaClientes[ID Cliente],35)="","",INDEX(TablaClientes[ID Cliente],35)&amp;" · "&amp;INDEX(TablaClientes[Nombre Cliente],35)),"")</f>
        <v/>
      </c>
    </row>
    <row r="38" spans="16:21">
      <c r="P38" s="44" t="str" cm="1">
        <f t="array" ref="P38">IFERROR(INDEX(TablaDocumentos[Documento],ROWS(P$4:P38)),"")</f>
        <v/>
      </c>
      <c r="U38" t="str">
        <f>IFERROR(IF(INDEX(TablaClientes[ID Cliente],36)="","",INDEX(TablaClientes[ID Cliente],36)&amp;" · "&amp;INDEX(TablaClientes[Nombre Cliente],36)),"")</f>
        <v/>
      </c>
    </row>
    <row r="39" spans="16:21">
      <c r="P39" s="44" t="str" cm="1">
        <f t="array" ref="P39">IFERROR(INDEX(TablaDocumentos[Documento],ROWS(P$4:P39)),"")</f>
        <v/>
      </c>
      <c r="U39" t="str">
        <f>IFERROR(IF(INDEX(TablaClientes[ID Cliente],37)="","",INDEX(TablaClientes[ID Cliente],37)&amp;" · "&amp;INDEX(TablaClientes[Nombre Cliente],37)),"")</f>
        <v/>
      </c>
    </row>
    <row r="40" spans="16:21">
      <c r="P40" s="44" t="str" cm="1">
        <f t="array" ref="P40">IFERROR(INDEX(TablaDocumentos[Documento],ROWS(P$4:P40)),"")</f>
        <v/>
      </c>
      <c r="U40" t="str">
        <f>IFERROR(IF(INDEX(TablaClientes[ID Cliente],38)="","",INDEX(TablaClientes[ID Cliente],38)&amp;" · "&amp;INDEX(TablaClientes[Nombre Cliente],38)),"")</f>
        <v/>
      </c>
    </row>
    <row r="41" spans="16:21">
      <c r="P41" s="44" t="str" cm="1">
        <f t="array" ref="P41">IFERROR(INDEX(TablaDocumentos[Documento],ROWS(P$4:P41)),"")</f>
        <v/>
      </c>
      <c r="U41" t="str">
        <f>IFERROR(IF(INDEX(TablaClientes[ID Cliente],39)="","",INDEX(TablaClientes[ID Cliente],39)&amp;" · "&amp;INDEX(TablaClientes[Nombre Cliente],39)),"")</f>
        <v/>
      </c>
    </row>
    <row r="42" spans="16:21">
      <c r="P42" s="44" t="str" cm="1">
        <f t="array" ref="P42">IFERROR(INDEX(TablaDocumentos[Documento],ROWS(P$4:P42)),"")</f>
        <v/>
      </c>
      <c r="U42" t="str">
        <f>IFERROR(IF(INDEX(TablaClientes[ID Cliente],40)="","",INDEX(TablaClientes[ID Cliente],40)&amp;" · "&amp;INDEX(TablaClientes[Nombre Cliente],40)),"")</f>
        <v/>
      </c>
    </row>
    <row r="43" spans="16:21">
      <c r="P43" s="44" t="str" cm="1">
        <f t="array" ref="P43">IFERROR(INDEX(TablaDocumentos[Documento],ROWS(P$4:P43)),"")</f>
        <v/>
      </c>
      <c r="U43" t="str">
        <f>IFERROR(IF(INDEX(TablaClientes[ID Cliente],41)="","",INDEX(TablaClientes[ID Cliente],41)&amp;" · "&amp;INDEX(TablaClientes[Nombre Cliente],41)),"")</f>
        <v/>
      </c>
    </row>
    <row r="44" spans="16:21">
      <c r="P44" s="44" t="str" cm="1">
        <f t="array" ref="P44">IFERROR(INDEX(TablaDocumentos[Documento],ROWS(P$4:P44)),"")</f>
        <v/>
      </c>
      <c r="U44" t="str">
        <f>IFERROR(IF(INDEX(TablaClientes[ID Cliente],42)="","",INDEX(TablaClientes[ID Cliente],42)&amp;" · "&amp;INDEX(TablaClientes[Nombre Cliente],42)),"")</f>
        <v/>
      </c>
    </row>
    <row r="45" spans="16:21">
      <c r="P45" s="44" t="str" cm="1">
        <f t="array" ref="P45">IFERROR(INDEX(TablaDocumentos[Documento],ROWS(P$4:P45)),"")</f>
        <v/>
      </c>
      <c r="U45" t="str">
        <f>IFERROR(IF(INDEX(TablaClientes[ID Cliente],43)="","",INDEX(TablaClientes[ID Cliente],43)&amp;" · "&amp;INDEX(TablaClientes[Nombre Cliente],43)),"")</f>
        <v/>
      </c>
    </row>
    <row r="46" spans="16:21">
      <c r="P46" s="44" t="str" cm="1">
        <f t="array" ref="P46">IFERROR(INDEX(TablaDocumentos[Documento],ROWS(P$4:P46)),"")</f>
        <v/>
      </c>
      <c r="U46" t="str">
        <f>IFERROR(IF(INDEX(TablaClientes[ID Cliente],44)="","",INDEX(TablaClientes[ID Cliente],44)&amp;" · "&amp;INDEX(TablaClientes[Nombre Cliente],44)),"")</f>
        <v/>
      </c>
    </row>
    <row r="47" spans="16:21">
      <c r="P47" s="44" t="str" cm="1">
        <f t="array" ref="P47">IFERROR(INDEX(TablaDocumentos[Documento],ROWS(P$4:P47)),"")</f>
        <v/>
      </c>
      <c r="U47" t="str">
        <f>IFERROR(IF(INDEX(TablaClientes[ID Cliente],45)="","",INDEX(TablaClientes[ID Cliente],45)&amp;" · "&amp;INDEX(TablaClientes[Nombre Cliente],45)),"")</f>
        <v/>
      </c>
    </row>
    <row r="48" spans="16:21">
      <c r="P48" s="44" t="str" cm="1">
        <f t="array" ref="P48">IFERROR(INDEX(TablaDocumentos[Documento],ROWS(P$4:P48)),"")</f>
        <v/>
      </c>
      <c r="U48" t="str">
        <f>IFERROR(IF(INDEX(TablaClientes[ID Cliente],46)="","",INDEX(TablaClientes[ID Cliente],46)&amp;" · "&amp;INDEX(TablaClientes[Nombre Cliente],46)),"")</f>
        <v/>
      </c>
    </row>
    <row r="49" spans="16:21">
      <c r="P49" s="44" t="str" cm="1">
        <f t="array" ref="P49">IFERROR(INDEX(TablaDocumentos[Documento],ROWS(P$4:P49)),"")</f>
        <v/>
      </c>
      <c r="U49" t="str">
        <f>IFERROR(IF(INDEX(TablaClientes[ID Cliente],47)="","",INDEX(TablaClientes[ID Cliente],47)&amp;" · "&amp;INDEX(TablaClientes[Nombre Cliente],47)),"")</f>
        <v/>
      </c>
    </row>
    <row r="50" spans="16:21">
      <c r="P50" s="44" t="str" cm="1">
        <f t="array" ref="P50">IFERROR(INDEX(TablaDocumentos[Documento],ROWS(P$4:P50)),"")</f>
        <v/>
      </c>
      <c r="U50" t="str">
        <f>IFERROR(IF(INDEX(TablaClientes[ID Cliente],48)="","",INDEX(TablaClientes[ID Cliente],48)&amp;" · "&amp;INDEX(TablaClientes[Nombre Cliente],48)),"")</f>
        <v/>
      </c>
    </row>
    <row r="51" spans="16:21">
      <c r="P51" s="44" t="str" cm="1">
        <f t="array" ref="P51">IFERROR(INDEX(TablaDocumentos[Documento],ROWS(P$4:P51)),"")</f>
        <v/>
      </c>
      <c r="U51" t="str">
        <f>IFERROR(IF(INDEX(TablaClientes[ID Cliente],49)="","",INDEX(TablaClientes[ID Cliente],49)&amp;" · "&amp;INDEX(TablaClientes[Nombre Cliente],49)),"")</f>
        <v/>
      </c>
    </row>
    <row r="52" spans="16:21">
      <c r="P52" s="44" t="str" cm="1">
        <f t="array" ref="P52">IFERROR(INDEX(TablaDocumentos[Documento],ROWS(P$4:P52)),"")</f>
        <v/>
      </c>
      <c r="U52" t="str">
        <f>IFERROR(IF(INDEX(TablaClientes[ID Cliente],50)="","",INDEX(TablaClientes[ID Cliente],50)&amp;" · "&amp;INDEX(TablaClientes[Nombre Cliente],50)),"")</f>
        <v/>
      </c>
    </row>
    <row r="53" spans="16:21">
      <c r="P53" s="44" t="str" cm="1">
        <f t="array" ref="P53">IFERROR(INDEX(TablaDocumentos[Documento],ROWS(P$4:P53)),"")</f>
        <v/>
      </c>
      <c r="U53" t="str">
        <f>IFERROR(IF(INDEX(TablaClientes[ID Cliente],51)="","",INDEX(TablaClientes[ID Cliente],51)&amp;" · "&amp;INDEX(TablaClientes[Nombre Cliente],51)),"")</f>
        <v/>
      </c>
    </row>
    <row r="54" spans="16:21">
      <c r="P54" s="44" t="str" cm="1">
        <f t="array" ref="P54">IFERROR(INDEX(TablaDocumentos[Documento],ROWS(P$4:P54)),"")</f>
        <v/>
      </c>
      <c r="U54" t="str">
        <f>IFERROR(IF(INDEX(TablaClientes[ID Cliente],52)="","",INDEX(TablaClientes[ID Cliente],52)&amp;" · "&amp;INDEX(TablaClientes[Nombre Cliente],52)),"")</f>
        <v/>
      </c>
    </row>
    <row r="55" spans="16:21">
      <c r="P55" s="44" t="str" cm="1">
        <f t="array" ref="P55">IFERROR(INDEX(TablaDocumentos[Documento],ROWS(P$4:P55)),"")</f>
        <v/>
      </c>
      <c r="U55" t="str">
        <f>IFERROR(IF(INDEX(TablaClientes[ID Cliente],53)="","",INDEX(TablaClientes[ID Cliente],53)&amp;" · "&amp;INDEX(TablaClientes[Nombre Cliente],53)),"")</f>
        <v/>
      </c>
    </row>
    <row r="56" spans="16:21">
      <c r="P56" s="44" t="str" cm="1">
        <f t="array" ref="P56">IFERROR(INDEX(TablaDocumentos[Documento],ROWS(P$4:P56)),"")</f>
        <v/>
      </c>
      <c r="U56" t="str">
        <f>IFERROR(IF(INDEX(TablaClientes[ID Cliente],54)="","",INDEX(TablaClientes[ID Cliente],54)&amp;" · "&amp;INDEX(TablaClientes[Nombre Cliente],54)),"")</f>
        <v/>
      </c>
    </row>
    <row r="57" spans="16:21">
      <c r="P57" s="44" t="str" cm="1">
        <f t="array" ref="P57">IFERROR(INDEX(TablaDocumentos[Documento],ROWS(P$4:P57)),"")</f>
        <v/>
      </c>
      <c r="U57" t="str">
        <f>IFERROR(IF(INDEX(TablaClientes[ID Cliente],55)="","",INDEX(TablaClientes[ID Cliente],55)&amp;" · "&amp;INDEX(TablaClientes[Nombre Cliente],55)),"")</f>
        <v/>
      </c>
    </row>
    <row r="58" spans="16:21">
      <c r="P58" s="44" t="str" cm="1">
        <f t="array" ref="P58">IFERROR(INDEX(TablaDocumentos[Documento],ROWS(P$4:P58)),"")</f>
        <v/>
      </c>
      <c r="U58" t="str">
        <f>IFERROR(IF(INDEX(TablaClientes[ID Cliente],56)="","",INDEX(TablaClientes[ID Cliente],56)&amp;" · "&amp;INDEX(TablaClientes[Nombre Cliente],56)),"")</f>
        <v/>
      </c>
    </row>
    <row r="59" spans="16:21">
      <c r="P59" s="44" t="str" cm="1">
        <f t="array" ref="P59">IFERROR(INDEX(TablaDocumentos[Documento],ROWS(P$4:P59)),"")</f>
        <v/>
      </c>
      <c r="U59" t="str">
        <f>IFERROR(IF(INDEX(TablaClientes[ID Cliente],57)="","",INDEX(TablaClientes[ID Cliente],57)&amp;" · "&amp;INDEX(TablaClientes[Nombre Cliente],57)),"")</f>
        <v/>
      </c>
    </row>
    <row r="60" spans="16:21">
      <c r="P60" s="44" t="str" cm="1">
        <f t="array" ref="P60">IFERROR(INDEX(TablaDocumentos[Documento],ROWS(P$4:P60)),"")</f>
        <v/>
      </c>
      <c r="U60" t="str">
        <f>IFERROR(IF(INDEX(TablaClientes[ID Cliente],58)="","",INDEX(TablaClientes[ID Cliente],58)&amp;" · "&amp;INDEX(TablaClientes[Nombre Cliente],58)),"")</f>
        <v/>
      </c>
    </row>
    <row r="61" spans="16:21">
      <c r="P61" s="44" t="str" cm="1">
        <f t="array" ref="P61">IFERROR(INDEX(TablaDocumentos[Documento],ROWS(P$4:P61)),"")</f>
        <v/>
      </c>
      <c r="U61" t="str">
        <f>IFERROR(IF(INDEX(TablaClientes[ID Cliente],59)="","",INDEX(TablaClientes[ID Cliente],59)&amp;" · "&amp;INDEX(TablaClientes[Nombre Cliente],59)),"")</f>
        <v/>
      </c>
    </row>
    <row r="62" spans="16:21">
      <c r="P62" s="44" t="str" cm="1">
        <f t="array" ref="P62">IFERROR(INDEX(TablaDocumentos[Documento],ROWS(P$4:P62)),"")</f>
        <v/>
      </c>
      <c r="U62" t="str">
        <f>IFERROR(IF(INDEX(TablaClientes[ID Cliente],60)="","",INDEX(TablaClientes[ID Cliente],60)&amp;" · "&amp;INDEX(TablaClientes[Nombre Cliente],60)),"")</f>
        <v/>
      </c>
    </row>
    <row r="63" spans="16:21">
      <c r="P63" s="44" t="str" cm="1">
        <f t="array" ref="P63">IFERROR(INDEX(TablaDocumentos[Documento],ROWS(P$4:P63)),"")</f>
        <v/>
      </c>
      <c r="U63" t="str">
        <f>IFERROR(IF(INDEX(TablaClientes[ID Cliente],61)="","",INDEX(TablaClientes[ID Cliente],61)&amp;" · "&amp;INDEX(TablaClientes[Nombre Cliente],61)),"")</f>
        <v/>
      </c>
    </row>
    <row r="64" spans="16:21">
      <c r="P64" s="44" t="str" cm="1">
        <f t="array" ref="P64">IFERROR(INDEX(TablaDocumentos[Documento],ROWS(P$4:P64)),"")</f>
        <v/>
      </c>
      <c r="U64" t="str">
        <f>IFERROR(IF(INDEX(TablaClientes[ID Cliente],62)="","",INDEX(TablaClientes[ID Cliente],62)&amp;" · "&amp;INDEX(TablaClientes[Nombre Cliente],62)),"")</f>
        <v/>
      </c>
    </row>
    <row r="65" spans="16:21">
      <c r="P65" s="44" t="str" cm="1">
        <f t="array" ref="P65">IFERROR(INDEX(TablaDocumentos[Documento],ROWS(P$4:P65)),"")</f>
        <v/>
      </c>
      <c r="U65" t="str">
        <f>IFERROR(IF(INDEX(TablaClientes[ID Cliente],63)="","",INDEX(TablaClientes[ID Cliente],63)&amp;" · "&amp;INDEX(TablaClientes[Nombre Cliente],63)),"")</f>
        <v/>
      </c>
    </row>
    <row r="66" spans="16:21">
      <c r="P66" s="44" t="str" cm="1">
        <f t="array" ref="P66">IFERROR(INDEX(TablaDocumentos[Documento],ROWS(P$4:P66)),"")</f>
        <v/>
      </c>
      <c r="U66" t="str">
        <f>IFERROR(IF(INDEX(TablaClientes[ID Cliente],64)="","",INDEX(TablaClientes[ID Cliente],64)&amp;" · "&amp;INDEX(TablaClientes[Nombre Cliente],64)),"")</f>
        <v/>
      </c>
    </row>
    <row r="67" spans="16:21">
      <c r="P67" s="44" t="str" cm="1">
        <f t="array" ref="P67">IFERROR(INDEX(TablaDocumentos[Documento],ROWS(P$4:P67)),"")</f>
        <v/>
      </c>
      <c r="U67" t="str">
        <f>IFERROR(IF(INDEX(TablaClientes[ID Cliente],65)="","",INDEX(TablaClientes[ID Cliente],65)&amp;" · "&amp;INDEX(TablaClientes[Nombre Cliente],65)),"")</f>
        <v/>
      </c>
    </row>
    <row r="68" spans="16:21">
      <c r="P68" s="44" t="str" cm="1">
        <f t="array" ref="P68">IFERROR(INDEX(TablaDocumentos[Documento],ROWS(P$4:P68)),"")</f>
        <v/>
      </c>
      <c r="U68" t="str">
        <f>IFERROR(IF(INDEX(TablaClientes[ID Cliente],66)="","",INDEX(TablaClientes[ID Cliente],66)&amp;" · "&amp;INDEX(TablaClientes[Nombre Cliente],66)),"")</f>
        <v/>
      </c>
    </row>
    <row r="69" spans="16:21">
      <c r="P69" s="44" t="str" cm="1">
        <f t="array" ref="P69">IFERROR(INDEX(TablaDocumentos[Documento],ROWS(P$4:P69)),"")</f>
        <v/>
      </c>
      <c r="U69" t="str">
        <f>IFERROR(IF(INDEX(TablaClientes[ID Cliente],67)="","",INDEX(TablaClientes[ID Cliente],67)&amp;" · "&amp;INDEX(TablaClientes[Nombre Cliente],67)),"")</f>
        <v/>
      </c>
    </row>
    <row r="70" spans="16:21">
      <c r="P70" s="44" t="str" cm="1">
        <f t="array" ref="P70">IFERROR(INDEX(TablaDocumentos[Documento],ROWS(P$4:P70)),"")</f>
        <v/>
      </c>
      <c r="U70" t="str">
        <f>IFERROR(IF(INDEX(TablaClientes[ID Cliente],68)="","",INDEX(TablaClientes[ID Cliente],68)&amp;" · "&amp;INDEX(TablaClientes[Nombre Cliente],68)),"")</f>
        <v/>
      </c>
    </row>
    <row r="71" spans="16:21">
      <c r="P71" s="44" t="str" cm="1">
        <f t="array" ref="P71">IFERROR(INDEX(TablaDocumentos[Documento],ROWS(P$4:P71)),"")</f>
        <v/>
      </c>
      <c r="U71" t="str">
        <f>IFERROR(IF(INDEX(TablaClientes[ID Cliente],69)="","",INDEX(TablaClientes[ID Cliente],69)&amp;" · "&amp;INDEX(TablaClientes[Nombre Cliente],69)),"")</f>
        <v/>
      </c>
    </row>
    <row r="72" spans="16:21">
      <c r="P72" s="44" t="str" cm="1">
        <f t="array" ref="P72">IFERROR(INDEX(TablaDocumentos[Documento],ROWS(P$4:P72)),"")</f>
        <v/>
      </c>
      <c r="U72" t="str">
        <f>IFERROR(IF(INDEX(TablaClientes[ID Cliente],70)="","",INDEX(TablaClientes[ID Cliente],70)&amp;" · "&amp;INDEX(TablaClientes[Nombre Cliente],70)),"")</f>
        <v/>
      </c>
    </row>
    <row r="73" spans="16:21">
      <c r="P73" s="44" t="str" cm="1">
        <f t="array" ref="P73">IFERROR(INDEX(TablaDocumentos[Documento],ROWS(P$4:P73)),"")</f>
        <v/>
      </c>
      <c r="U73" t="str">
        <f>IFERROR(IF(INDEX(TablaClientes[ID Cliente],71)="","",INDEX(TablaClientes[ID Cliente],71)&amp;" · "&amp;INDEX(TablaClientes[Nombre Cliente],71)),"")</f>
        <v/>
      </c>
    </row>
    <row r="74" spans="16:21">
      <c r="P74" s="44" t="str" cm="1">
        <f t="array" ref="P74">IFERROR(INDEX(TablaDocumentos[Documento],ROWS(P$4:P74)),"")</f>
        <v/>
      </c>
      <c r="U74" t="str">
        <f>IFERROR(IF(INDEX(TablaClientes[ID Cliente],72)="","",INDEX(TablaClientes[ID Cliente],72)&amp;" · "&amp;INDEX(TablaClientes[Nombre Cliente],72)),"")</f>
        <v/>
      </c>
    </row>
    <row r="75" spans="16:21">
      <c r="P75" s="44" t="str" cm="1">
        <f t="array" ref="P75">IFERROR(INDEX(TablaDocumentos[Documento],ROWS(P$4:P75)),"")</f>
        <v/>
      </c>
      <c r="U75" t="str">
        <f>IFERROR(IF(INDEX(TablaClientes[ID Cliente],73)="","",INDEX(TablaClientes[ID Cliente],73)&amp;" · "&amp;INDEX(TablaClientes[Nombre Cliente],73)),"")</f>
        <v/>
      </c>
    </row>
    <row r="76" spans="16:21">
      <c r="P76" s="44" t="str" cm="1">
        <f t="array" ref="P76">IFERROR(INDEX(TablaDocumentos[Documento],ROWS(P$4:P76)),"")</f>
        <v/>
      </c>
      <c r="U76" t="str">
        <f>IFERROR(IF(INDEX(TablaClientes[ID Cliente],74)="","",INDEX(TablaClientes[ID Cliente],74)&amp;" · "&amp;INDEX(TablaClientes[Nombre Cliente],74)),"")</f>
        <v/>
      </c>
    </row>
    <row r="77" spans="16:21">
      <c r="P77" s="44" t="str" cm="1">
        <f t="array" ref="P77">IFERROR(INDEX(TablaDocumentos[Documento],ROWS(P$4:P77)),"")</f>
        <v/>
      </c>
      <c r="U77" t="str">
        <f>IFERROR(IF(INDEX(TablaClientes[ID Cliente],75)="","",INDEX(TablaClientes[ID Cliente],75)&amp;" · "&amp;INDEX(TablaClientes[Nombre Cliente],75)),"")</f>
        <v/>
      </c>
    </row>
    <row r="78" spans="16:21">
      <c r="P78" s="44" t="str" cm="1">
        <f t="array" ref="P78">IFERROR(INDEX(TablaDocumentos[Documento],ROWS(P$4:P78)),"")</f>
        <v/>
      </c>
      <c r="U78" t="str">
        <f>IFERROR(IF(INDEX(TablaClientes[ID Cliente],76)="","",INDEX(TablaClientes[ID Cliente],76)&amp;" · "&amp;INDEX(TablaClientes[Nombre Cliente],76)),"")</f>
        <v/>
      </c>
    </row>
    <row r="79" spans="16:21">
      <c r="P79" s="44" t="str" cm="1">
        <f t="array" ref="P79">IFERROR(INDEX(TablaDocumentos[Documento],ROWS(P$4:P79)),"")</f>
        <v/>
      </c>
      <c r="U79" t="str">
        <f>IFERROR(IF(INDEX(TablaClientes[ID Cliente],77)="","",INDEX(TablaClientes[ID Cliente],77)&amp;" · "&amp;INDEX(TablaClientes[Nombre Cliente],77)),"")</f>
        <v/>
      </c>
    </row>
    <row r="80" spans="16:21">
      <c r="P80" s="44" t="str" cm="1">
        <f t="array" ref="P80">IFERROR(INDEX(TablaDocumentos[Documento],ROWS(P$4:P80)),"")</f>
        <v/>
      </c>
      <c r="U80" t="str">
        <f>IFERROR(IF(INDEX(TablaClientes[ID Cliente],78)="","",INDEX(TablaClientes[ID Cliente],78)&amp;" · "&amp;INDEX(TablaClientes[Nombre Cliente],78)),"")</f>
        <v/>
      </c>
    </row>
    <row r="81" spans="16:21">
      <c r="P81" s="44" t="str" cm="1">
        <f t="array" ref="P81">IFERROR(INDEX(TablaDocumentos[Documento],ROWS(P$4:P81)),"")</f>
        <v/>
      </c>
      <c r="U81" t="str">
        <f>IFERROR(IF(INDEX(TablaClientes[ID Cliente],79)="","",INDEX(TablaClientes[ID Cliente],79)&amp;" · "&amp;INDEX(TablaClientes[Nombre Cliente],79)),"")</f>
        <v/>
      </c>
    </row>
    <row r="82" spans="16:21">
      <c r="P82" s="44" t="str" cm="1">
        <f t="array" ref="P82">IFERROR(INDEX(TablaDocumentos[Documento],ROWS(P$4:P82)),"")</f>
        <v/>
      </c>
      <c r="U82" t="str">
        <f>IFERROR(IF(INDEX(TablaClientes[ID Cliente],80)="","",INDEX(TablaClientes[ID Cliente],80)&amp;" · "&amp;INDEX(TablaClientes[Nombre Cliente],80)),"")</f>
        <v/>
      </c>
    </row>
    <row r="83" spans="16:21">
      <c r="P83" s="44" t="str" cm="1">
        <f t="array" ref="P83">IFERROR(INDEX(TablaDocumentos[Documento],ROWS(P$4:P83)),"")</f>
        <v/>
      </c>
      <c r="U83" t="str">
        <f>IFERROR(IF(INDEX(TablaClientes[ID Cliente],81)="","",INDEX(TablaClientes[ID Cliente],81)&amp;" · "&amp;INDEX(TablaClientes[Nombre Cliente],81)),"")</f>
        <v/>
      </c>
    </row>
    <row r="84" spans="16:21">
      <c r="P84" s="44" t="str" cm="1">
        <f t="array" ref="P84">IFERROR(INDEX(TablaDocumentos[Documento],ROWS(P$4:P84)),"")</f>
        <v/>
      </c>
      <c r="U84" t="str">
        <f>IFERROR(IF(INDEX(TablaClientes[ID Cliente],82)="","",INDEX(TablaClientes[ID Cliente],82)&amp;" · "&amp;INDEX(TablaClientes[Nombre Cliente],82)),"")</f>
        <v/>
      </c>
    </row>
    <row r="85" spans="16:21">
      <c r="P85" s="44" t="str" cm="1">
        <f t="array" ref="P85">IFERROR(INDEX(TablaDocumentos[Documento],ROWS(P$4:P85)),"")</f>
        <v/>
      </c>
      <c r="U85" t="str">
        <f>IFERROR(IF(INDEX(TablaClientes[ID Cliente],83)="","",INDEX(TablaClientes[ID Cliente],83)&amp;" · "&amp;INDEX(TablaClientes[Nombre Cliente],83)),"")</f>
        <v/>
      </c>
    </row>
    <row r="86" spans="16:21">
      <c r="P86" s="44" t="str" cm="1">
        <f t="array" ref="P86">IFERROR(INDEX(TablaDocumentos[Documento],ROWS(P$4:P86)),"")</f>
        <v/>
      </c>
      <c r="U86" t="str">
        <f>IFERROR(IF(INDEX(TablaClientes[ID Cliente],84)="","",INDEX(TablaClientes[ID Cliente],84)&amp;" · "&amp;INDEX(TablaClientes[Nombre Cliente],84)),"")</f>
        <v/>
      </c>
    </row>
    <row r="87" spans="16:21">
      <c r="P87" s="44" t="str" cm="1">
        <f t="array" ref="P87">IFERROR(INDEX(TablaDocumentos[Documento],ROWS(P$4:P87)),"")</f>
        <v/>
      </c>
      <c r="U87" t="str">
        <f>IFERROR(IF(INDEX(TablaClientes[ID Cliente],85)="","",INDEX(TablaClientes[ID Cliente],85)&amp;" · "&amp;INDEX(TablaClientes[Nombre Cliente],85)),"")</f>
        <v/>
      </c>
    </row>
    <row r="88" spans="16:21">
      <c r="P88" s="44" t="str" cm="1">
        <f t="array" ref="P88">IFERROR(INDEX(TablaDocumentos[Documento],ROWS(P$4:P88)),"")</f>
        <v/>
      </c>
      <c r="U88" t="str">
        <f>IFERROR(IF(INDEX(TablaClientes[ID Cliente],86)="","",INDEX(TablaClientes[ID Cliente],86)&amp;" · "&amp;INDEX(TablaClientes[Nombre Cliente],86)),"")</f>
        <v/>
      </c>
    </row>
    <row r="89" spans="16:21">
      <c r="P89" s="44" t="str" cm="1">
        <f t="array" ref="P89">IFERROR(INDEX(TablaDocumentos[Documento],ROWS(P$4:P89)),"")</f>
        <v/>
      </c>
      <c r="U89" t="str">
        <f>IFERROR(IF(INDEX(TablaClientes[ID Cliente],87)="","",INDEX(TablaClientes[ID Cliente],87)&amp;" · "&amp;INDEX(TablaClientes[Nombre Cliente],87)),"")</f>
        <v/>
      </c>
    </row>
    <row r="90" spans="16:21">
      <c r="P90" s="44" t="str" cm="1">
        <f t="array" ref="P90">IFERROR(INDEX(TablaDocumentos[Documento],ROWS(P$4:P90)),"")</f>
        <v/>
      </c>
      <c r="U90" t="str">
        <f>IFERROR(IF(INDEX(TablaClientes[ID Cliente],88)="","",INDEX(TablaClientes[ID Cliente],88)&amp;" · "&amp;INDEX(TablaClientes[Nombre Cliente],88)),"")</f>
        <v/>
      </c>
    </row>
    <row r="91" spans="16:21">
      <c r="P91" s="44" t="str" cm="1">
        <f t="array" ref="P91">IFERROR(INDEX(TablaDocumentos[Documento],ROWS(P$4:P91)),"")</f>
        <v/>
      </c>
      <c r="U91" t="str">
        <f>IFERROR(IF(INDEX(TablaClientes[ID Cliente],89)="","",INDEX(TablaClientes[ID Cliente],89)&amp;" · "&amp;INDEX(TablaClientes[Nombre Cliente],89)),"")</f>
        <v/>
      </c>
    </row>
    <row r="92" spans="16:21">
      <c r="P92" s="44" t="str" cm="1">
        <f t="array" ref="P92">IFERROR(INDEX(TablaDocumentos[Documento],ROWS(P$4:P92)),"")</f>
        <v/>
      </c>
      <c r="U92" t="str">
        <f>IFERROR(IF(INDEX(TablaClientes[ID Cliente],90)="","",INDEX(TablaClientes[ID Cliente],90)&amp;" · "&amp;INDEX(TablaClientes[Nombre Cliente],90)),"")</f>
        <v/>
      </c>
    </row>
    <row r="93" spans="16:21">
      <c r="P93" s="44" t="str" cm="1">
        <f t="array" ref="P93">IFERROR(INDEX(TablaDocumentos[Documento],ROWS(P$4:P93)),"")</f>
        <v/>
      </c>
      <c r="U93" t="str">
        <f>IFERROR(IF(INDEX(TablaClientes[ID Cliente],91)="","",INDEX(TablaClientes[ID Cliente],91)&amp;" · "&amp;INDEX(TablaClientes[Nombre Cliente],91)),"")</f>
        <v/>
      </c>
    </row>
    <row r="94" spans="16:21">
      <c r="P94" s="44" t="str" cm="1">
        <f t="array" ref="P94">IFERROR(INDEX(TablaDocumentos[Documento],ROWS(P$4:P94)),"")</f>
        <v/>
      </c>
      <c r="U94" t="str">
        <f>IFERROR(IF(INDEX(TablaClientes[ID Cliente],92)="","",INDEX(TablaClientes[ID Cliente],92)&amp;" · "&amp;INDEX(TablaClientes[Nombre Cliente],92)),"")</f>
        <v/>
      </c>
    </row>
    <row r="95" spans="16:21">
      <c r="P95" s="44" t="str" cm="1">
        <f t="array" ref="P95">IFERROR(INDEX(TablaDocumentos[Documento],ROWS(P$4:P95)),"")</f>
        <v/>
      </c>
      <c r="U95" t="str">
        <f>IFERROR(IF(INDEX(TablaClientes[ID Cliente],93)="","",INDEX(TablaClientes[ID Cliente],93)&amp;" · "&amp;INDEX(TablaClientes[Nombre Cliente],93)),"")</f>
        <v/>
      </c>
    </row>
    <row r="96" spans="16:21">
      <c r="P96" s="44" t="str" cm="1">
        <f t="array" ref="P96">IFERROR(INDEX(TablaDocumentos[Documento],ROWS(P$4:P96)),"")</f>
        <v/>
      </c>
      <c r="U96" t="str">
        <f>IFERROR(IF(INDEX(TablaClientes[ID Cliente],94)="","",INDEX(TablaClientes[ID Cliente],94)&amp;" · "&amp;INDEX(TablaClientes[Nombre Cliente],94)),"")</f>
        <v/>
      </c>
    </row>
    <row r="97" spans="16:21">
      <c r="P97" s="44" t="str" cm="1">
        <f t="array" ref="P97">IFERROR(INDEX(TablaDocumentos[Documento],ROWS(P$4:P97)),"")</f>
        <v/>
      </c>
      <c r="U97" t="str">
        <f>IFERROR(IF(INDEX(TablaClientes[ID Cliente],95)="","",INDEX(TablaClientes[ID Cliente],95)&amp;" · "&amp;INDEX(TablaClientes[Nombre Cliente],95)),"")</f>
        <v/>
      </c>
    </row>
    <row r="98" spans="16:21">
      <c r="P98" s="44" t="str" cm="1">
        <f t="array" ref="P98">IFERROR(INDEX(TablaDocumentos[Documento],ROWS(P$4:P98)),"")</f>
        <v/>
      </c>
      <c r="U98" t="str">
        <f>IFERROR(IF(INDEX(TablaClientes[ID Cliente],96)="","",INDEX(TablaClientes[ID Cliente],96)&amp;" · "&amp;INDEX(TablaClientes[Nombre Cliente],96)),"")</f>
        <v/>
      </c>
    </row>
    <row r="99" spans="16:21">
      <c r="P99" s="44" t="str" cm="1">
        <f t="array" ref="P99">IFERROR(INDEX(TablaDocumentos[Documento],ROWS(P$4:P99)),"")</f>
        <v/>
      </c>
      <c r="U99" t="str">
        <f>IFERROR(IF(INDEX(TablaClientes[ID Cliente],97)="","",INDEX(TablaClientes[ID Cliente],97)&amp;" · "&amp;INDEX(TablaClientes[Nombre Cliente],97)),"")</f>
        <v/>
      </c>
    </row>
    <row r="100" spans="16:21">
      <c r="P100" s="44" t="str" cm="1">
        <f t="array" ref="P100">IFERROR(INDEX(TablaDocumentos[Documento],ROWS(P$4:P100)),"")</f>
        <v/>
      </c>
      <c r="U100" t="str">
        <f>IFERROR(IF(INDEX(TablaClientes[ID Cliente],98)="","",INDEX(TablaClientes[ID Cliente],98)&amp;" · "&amp;INDEX(TablaClientes[Nombre Cliente],98)),"")</f>
        <v/>
      </c>
    </row>
    <row r="101" spans="16:21">
      <c r="P101" s="44" t="str" cm="1">
        <f t="array" ref="P101">IFERROR(INDEX(TablaDocumentos[Documento],ROWS(P$4:P101)),"")</f>
        <v/>
      </c>
      <c r="U101" t="str">
        <f>IFERROR(IF(INDEX(TablaClientes[ID Cliente],99)="","",INDEX(TablaClientes[ID Cliente],99)&amp;" · "&amp;INDEX(TablaClientes[Nombre Cliente],99)),"")</f>
        <v/>
      </c>
    </row>
    <row r="102" spans="16:21">
      <c r="P102" s="44" t="str" cm="1">
        <f t="array" ref="P102">IFERROR(INDEX(TablaDocumentos[Documento],ROWS(P$4:P102)),"")</f>
        <v/>
      </c>
      <c r="U102" t="str">
        <f>IFERROR(IF(INDEX(TablaClientes[ID Cliente],100)="","",INDEX(TablaClientes[ID Cliente],100)&amp;" · "&amp;INDEX(TablaClientes[Nombre Cliente],100)),"")</f>
        <v/>
      </c>
    </row>
    <row r="103" spans="16:21">
      <c r="P103" s="44" t="str" cm="1">
        <f t="array" ref="P103">IFERROR(INDEX(TablaDocumentos[Documento],ROWS(P$4:P103)),"")</f>
        <v/>
      </c>
      <c r="U103" t="str">
        <f>IFERROR(IF(INDEX(TablaClientes[ID Cliente],101)="","",INDEX(TablaClientes[ID Cliente],101)&amp;" · "&amp;INDEX(TablaClientes[Nombre Cliente],101)),"")</f>
        <v/>
      </c>
    </row>
    <row r="104" spans="16:21">
      <c r="P104" s="44" t="str" cm="1">
        <f t="array" ref="P104">IFERROR(INDEX(TablaDocumentos[Documento],ROWS(P$4:P104)),"")</f>
        <v/>
      </c>
      <c r="U104" t="str">
        <f>IFERROR(IF(INDEX(TablaClientes[ID Cliente],102)="","",INDEX(TablaClientes[ID Cliente],102)&amp;" · "&amp;INDEX(TablaClientes[Nombre Cliente],102)),"")</f>
        <v/>
      </c>
    </row>
    <row r="105" spans="16:21">
      <c r="P105" s="44" t="str" cm="1">
        <f t="array" ref="P105">IFERROR(INDEX(TablaDocumentos[Documento],ROWS(P$4:P105)),"")</f>
        <v/>
      </c>
      <c r="U105" t="str">
        <f>IFERROR(IF(INDEX(TablaClientes[ID Cliente],103)="","",INDEX(TablaClientes[ID Cliente],103)&amp;" · "&amp;INDEX(TablaClientes[Nombre Cliente],103)),"")</f>
        <v/>
      </c>
    </row>
    <row r="106" spans="16:21">
      <c r="P106" s="44" t="str" cm="1">
        <f t="array" ref="P106">IFERROR(INDEX(TablaDocumentos[Documento],ROWS(P$4:P106)),"")</f>
        <v/>
      </c>
      <c r="U106" t="str">
        <f>IFERROR(IF(INDEX(TablaClientes[ID Cliente],104)="","",INDEX(TablaClientes[ID Cliente],104)&amp;" · "&amp;INDEX(TablaClientes[Nombre Cliente],104)),"")</f>
        <v/>
      </c>
    </row>
    <row r="107" spans="16:21">
      <c r="P107" s="44" t="str" cm="1">
        <f t="array" ref="P107">IFERROR(INDEX(TablaDocumentos[Documento],ROWS(P$4:P107)),"")</f>
        <v/>
      </c>
      <c r="U107" t="str">
        <f>IFERROR(IF(INDEX(TablaClientes[ID Cliente],105)="","",INDEX(TablaClientes[ID Cliente],105)&amp;" · "&amp;INDEX(TablaClientes[Nombre Cliente],105)),"")</f>
        <v/>
      </c>
    </row>
    <row r="108" spans="16:21">
      <c r="P108" s="44" t="str" cm="1">
        <f t="array" ref="P108">IFERROR(INDEX(TablaDocumentos[Documento],ROWS(P$4:P108)),"")</f>
        <v/>
      </c>
      <c r="U108" t="str">
        <f>IFERROR(IF(INDEX(TablaClientes[ID Cliente],106)="","",INDEX(TablaClientes[ID Cliente],106)&amp;" · "&amp;INDEX(TablaClientes[Nombre Cliente],106)),"")</f>
        <v/>
      </c>
    </row>
    <row r="109" spans="16:21">
      <c r="P109" s="44" t="str" cm="1">
        <f t="array" ref="P109">IFERROR(INDEX(TablaDocumentos[Documento],ROWS(P$4:P109)),"")</f>
        <v/>
      </c>
      <c r="U109" t="str">
        <f>IFERROR(IF(INDEX(TablaClientes[ID Cliente],107)="","",INDEX(TablaClientes[ID Cliente],107)&amp;" · "&amp;INDEX(TablaClientes[Nombre Cliente],107)),"")</f>
        <v/>
      </c>
    </row>
    <row r="110" spans="16:21">
      <c r="P110" s="44" t="str" cm="1">
        <f t="array" ref="P110">IFERROR(INDEX(TablaDocumentos[Documento],ROWS(P$4:P110)),"")</f>
        <v/>
      </c>
      <c r="U110" t="str">
        <f>IFERROR(IF(INDEX(TablaClientes[ID Cliente],108)="","",INDEX(TablaClientes[ID Cliente],108)&amp;" · "&amp;INDEX(TablaClientes[Nombre Cliente],108)),"")</f>
        <v/>
      </c>
    </row>
    <row r="111" spans="16:21">
      <c r="P111" s="44" t="str" cm="1">
        <f t="array" ref="P111">IFERROR(INDEX(TablaDocumentos[Documento],ROWS(P$4:P111)),"")</f>
        <v/>
      </c>
      <c r="U111" t="str">
        <f>IFERROR(IF(INDEX(TablaClientes[ID Cliente],109)="","",INDEX(TablaClientes[ID Cliente],109)&amp;" · "&amp;INDEX(TablaClientes[Nombre Cliente],109)),"")</f>
        <v/>
      </c>
    </row>
    <row r="112" spans="16:21">
      <c r="P112" s="44" t="str" cm="1">
        <f t="array" ref="P112">IFERROR(INDEX(TablaDocumentos[Documento],ROWS(P$4:P112)),"")</f>
        <v/>
      </c>
      <c r="U112" t="str">
        <f>IFERROR(IF(INDEX(TablaClientes[ID Cliente],110)="","",INDEX(TablaClientes[ID Cliente],110)&amp;" · "&amp;INDEX(TablaClientes[Nombre Cliente],110)),"")</f>
        <v/>
      </c>
    </row>
    <row r="113" spans="16:21">
      <c r="P113" s="44" t="str" cm="1">
        <f t="array" ref="P113">IFERROR(INDEX(TablaDocumentos[Documento],ROWS(P$4:P113)),"")</f>
        <v/>
      </c>
      <c r="U113" t="str">
        <f>IFERROR(IF(INDEX(TablaClientes[ID Cliente],111)="","",INDEX(TablaClientes[ID Cliente],111)&amp;" · "&amp;INDEX(TablaClientes[Nombre Cliente],111)),"")</f>
        <v/>
      </c>
    </row>
    <row r="114" spans="16:21">
      <c r="P114" s="44" t="str" cm="1">
        <f t="array" ref="P114">IFERROR(INDEX(TablaDocumentos[Documento],ROWS(P$4:P114)),"")</f>
        <v/>
      </c>
      <c r="U114" t="str">
        <f>IFERROR(IF(INDEX(TablaClientes[ID Cliente],112)="","",INDEX(TablaClientes[ID Cliente],112)&amp;" · "&amp;INDEX(TablaClientes[Nombre Cliente],112)),"")</f>
        <v/>
      </c>
    </row>
    <row r="115" spans="16:21">
      <c r="P115" s="44" t="str" cm="1">
        <f t="array" ref="P115">IFERROR(INDEX(TablaDocumentos[Documento],ROWS(P$4:P115)),"")</f>
        <v/>
      </c>
      <c r="U115" t="str">
        <f>IFERROR(IF(INDEX(TablaClientes[ID Cliente],113)="","",INDEX(TablaClientes[ID Cliente],113)&amp;" · "&amp;INDEX(TablaClientes[Nombre Cliente],113)),"")</f>
        <v/>
      </c>
    </row>
    <row r="116" spans="16:21">
      <c r="P116" s="44" t="str" cm="1">
        <f t="array" ref="P116">IFERROR(INDEX(TablaDocumentos[Documento],ROWS(P$4:P116)),"")</f>
        <v/>
      </c>
      <c r="U116" t="str">
        <f>IFERROR(IF(INDEX(TablaClientes[ID Cliente],114)="","",INDEX(TablaClientes[ID Cliente],114)&amp;" · "&amp;INDEX(TablaClientes[Nombre Cliente],114)),"")</f>
        <v/>
      </c>
    </row>
    <row r="117" spans="16:21">
      <c r="P117" s="44" t="str" cm="1">
        <f t="array" ref="P117">IFERROR(INDEX(TablaDocumentos[Documento],ROWS(P$4:P117)),"")</f>
        <v/>
      </c>
      <c r="U117" t="str">
        <f>IFERROR(IF(INDEX(TablaClientes[ID Cliente],115)="","",INDEX(TablaClientes[ID Cliente],115)&amp;" · "&amp;INDEX(TablaClientes[Nombre Cliente],115)),"")</f>
        <v/>
      </c>
    </row>
    <row r="118" spans="16:21">
      <c r="P118" s="44" t="str" cm="1">
        <f t="array" ref="P118">IFERROR(INDEX(TablaDocumentos[Documento],ROWS(P$4:P118)),"")</f>
        <v/>
      </c>
      <c r="U118" t="str">
        <f>IFERROR(IF(INDEX(TablaClientes[ID Cliente],116)="","",INDEX(TablaClientes[ID Cliente],116)&amp;" · "&amp;INDEX(TablaClientes[Nombre Cliente],116)),"")</f>
        <v/>
      </c>
    </row>
    <row r="119" spans="16:21">
      <c r="P119" s="44" t="str" cm="1">
        <f t="array" ref="P119">IFERROR(INDEX(TablaDocumentos[Documento],ROWS(P$4:P119)),"")</f>
        <v/>
      </c>
      <c r="U119" t="str">
        <f>IFERROR(IF(INDEX(TablaClientes[ID Cliente],117)="","",INDEX(TablaClientes[ID Cliente],117)&amp;" · "&amp;INDEX(TablaClientes[Nombre Cliente],117)),"")</f>
        <v/>
      </c>
    </row>
    <row r="120" spans="16:21">
      <c r="P120" s="44" t="str" cm="1">
        <f t="array" ref="P120">IFERROR(INDEX(TablaDocumentos[Documento],ROWS(P$4:P120)),"")</f>
        <v/>
      </c>
      <c r="U120" t="str">
        <f>IFERROR(IF(INDEX(TablaClientes[ID Cliente],118)="","",INDEX(TablaClientes[ID Cliente],118)&amp;" · "&amp;INDEX(TablaClientes[Nombre Cliente],118)),"")</f>
        <v/>
      </c>
    </row>
    <row r="121" spans="16:21">
      <c r="P121" s="44" t="str" cm="1">
        <f t="array" ref="P121">IFERROR(INDEX(TablaDocumentos[Documento],ROWS(P$4:P121)),"")</f>
        <v/>
      </c>
      <c r="U121" t="str">
        <f>IFERROR(IF(INDEX(TablaClientes[ID Cliente],119)="","",INDEX(TablaClientes[ID Cliente],119)&amp;" · "&amp;INDEX(TablaClientes[Nombre Cliente],119)),"")</f>
        <v/>
      </c>
    </row>
    <row r="122" spans="16:21">
      <c r="P122" s="44" t="str" cm="1">
        <f t="array" ref="P122">IFERROR(INDEX(TablaDocumentos[Documento],ROWS(P$4:P122)),"")</f>
        <v/>
      </c>
      <c r="U122" t="str">
        <f>IFERROR(IF(INDEX(TablaClientes[ID Cliente],120)="","",INDEX(TablaClientes[ID Cliente],120)&amp;" · "&amp;INDEX(TablaClientes[Nombre Cliente],120)),"")</f>
        <v/>
      </c>
    </row>
    <row r="123" spans="16:21">
      <c r="P123" s="44" t="str" cm="1">
        <f t="array" ref="P123">IFERROR(INDEX(TablaDocumentos[Documento],ROWS(P$4:P123)),"")</f>
        <v/>
      </c>
      <c r="U123" t="str">
        <f>IFERROR(IF(INDEX(TablaClientes[ID Cliente],121)="","",INDEX(TablaClientes[ID Cliente],121)&amp;" · "&amp;INDEX(TablaClientes[Nombre Cliente],121)),"")</f>
        <v/>
      </c>
    </row>
    <row r="124" spans="16:21">
      <c r="P124" s="44" t="str" cm="1">
        <f t="array" ref="P124">IFERROR(INDEX(TablaDocumentos[Documento],ROWS(P$4:P124)),"")</f>
        <v/>
      </c>
      <c r="U124" t="str">
        <f>IFERROR(IF(INDEX(TablaClientes[ID Cliente],122)="","",INDEX(TablaClientes[ID Cliente],122)&amp;" · "&amp;INDEX(TablaClientes[Nombre Cliente],122)),"")</f>
        <v/>
      </c>
    </row>
    <row r="125" spans="16:21">
      <c r="P125" s="44" t="str" cm="1">
        <f t="array" ref="P125">IFERROR(INDEX(TablaDocumentos[Documento],ROWS(P$4:P125)),"")</f>
        <v/>
      </c>
      <c r="U125" t="str">
        <f>IFERROR(IF(INDEX(TablaClientes[ID Cliente],123)="","",INDEX(TablaClientes[ID Cliente],123)&amp;" · "&amp;INDEX(TablaClientes[Nombre Cliente],123)),"")</f>
        <v/>
      </c>
    </row>
    <row r="126" spans="16:21">
      <c r="P126" s="44" t="str" cm="1">
        <f t="array" ref="P126">IFERROR(INDEX(TablaDocumentos[Documento],ROWS(P$4:P126)),"")</f>
        <v/>
      </c>
      <c r="U126" t="str">
        <f>IFERROR(IF(INDEX(TablaClientes[ID Cliente],124)="","",INDEX(TablaClientes[ID Cliente],124)&amp;" · "&amp;INDEX(TablaClientes[Nombre Cliente],124)),"")</f>
        <v/>
      </c>
    </row>
    <row r="127" spans="16:21">
      <c r="P127" s="44" t="str" cm="1">
        <f t="array" ref="P127">IFERROR(INDEX(TablaDocumentos[Documento],ROWS(P$4:P127)),"")</f>
        <v/>
      </c>
      <c r="U127" t="str">
        <f>IFERROR(IF(INDEX(TablaClientes[ID Cliente],125)="","",INDEX(TablaClientes[ID Cliente],125)&amp;" · "&amp;INDEX(TablaClientes[Nombre Cliente],125)),"")</f>
        <v/>
      </c>
    </row>
    <row r="128" spans="16:21">
      <c r="P128" s="44" t="str" cm="1">
        <f t="array" ref="P128">IFERROR(INDEX(TablaDocumentos[Documento],ROWS(P$4:P128)),"")</f>
        <v/>
      </c>
      <c r="U128" t="str">
        <f>IFERROR(IF(INDEX(TablaClientes[ID Cliente],126)="","",INDEX(TablaClientes[ID Cliente],126)&amp;" · "&amp;INDEX(TablaClientes[Nombre Cliente],126)),"")</f>
        <v/>
      </c>
    </row>
    <row r="129" spans="16:21">
      <c r="P129" s="44" t="str" cm="1">
        <f t="array" ref="P129">IFERROR(INDEX(TablaDocumentos[Documento],ROWS(P$4:P129)),"")</f>
        <v/>
      </c>
      <c r="U129" t="str">
        <f>IFERROR(IF(INDEX(TablaClientes[ID Cliente],127)="","",INDEX(TablaClientes[ID Cliente],127)&amp;" · "&amp;INDEX(TablaClientes[Nombre Cliente],127)),"")</f>
        <v/>
      </c>
    </row>
    <row r="130" spans="16:21">
      <c r="P130" s="44" t="str" cm="1">
        <f t="array" ref="P130">IFERROR(INDEX(TablaDocumentos[Documento],ROWS(P$4:P130)),"")</f>
        <v/>
      </c>
      <c r="U130" t="str">
        <f>IFERROR(IF(INDEX(TablaClientes[ID Cliente],128)="","",INDEX(TablaClientes[ID Cliente],128)&amp;" · "&amp;INDEX(TablaClientes[Nombre Cliente],128)),"")</f>
        <v/>
      </c>
    </row>
    <row r="131" spans="16:21">
      <c r="P131" s="44" t="str" cm="1">
        <f t="array" ref="P131">IFERROR(INDEX(TablaDocumentos[Documento],ROWS(P$4:P131)),"")</f>
        <v/>
      </c>
      <c r="U131" t="str">
        <f>IFERROR(IF(INDEX(TablaClientes[ID Cliente],129)="","",INDEX(TablaClientes[ID Cliente],129)&amp;" · "&amp;INDEX(TablaClientes[Nombre Cliente],129)),"")</f>
        <v/>
      </c>
    </row>
    <row r="132" spans="16:21">
      <c r="P132" s="44" t="str" cm="1">
        <f t="array" ref="P132">IFERROR(INDEX(TablaDocumentos[Documento],ROWS(P$4:P132)),"")</f>
        <v/>
      </c>
      <c r="U132" t="str">
        <f>IFERROR(IF(INDEX(TablaClientes[ID Cliente],130)="","",INDEX(TablaClientes[ID Cliente],130)&amp;" · "&amp;INDEX(TablaClientes[Nombre Cliente],130)),"")</f>
        <v/>
      </c>
    </row>
    <row r="133" spans="16:21">
      <c r="P133" s="44" t="str" cm="1">
        <f t="array" ref="P133">IFERROR(INDEX(TablaDocumentos[Documento],ROWS(P$4:P133)),"")</f>
        <v/>
      </c>
      <c r="U133" t="str">
        <f>IFERROR(IF(INDEX(TablaClientes[ID Cliente],131)="","",INDEX(TablaClientes[ID Cliente],131)&amp;" · "&amp;INDEX(TablaClientes[Nombre Cliente],131)),"")</f>
        <v/>
      </c>
    </row>
    <row r="134" spans="16:21">
      <c r="P134" s="44" t="str" cm="1">
        <f t="array" ref="P134">IFERROR(INDEX(TablaDocumentos[Documento],ROWS(P$4:P134)),"")</f>
        <v/>
      </c>
      <c r="U134" t="str">
        <f>IFERROR(IF(INDEX(TablaClientes[ID Cliente],132)="","",INDEX(TablaClientes[ID Cliente],132)&amp;" · "&amp;INDEX(TablaClientes[Nombre Cliente],132)),"")</f>
        <v/>
      </c>
    </row>
    <row r="135" spans="16:21">
      <c r="P135" s="44" t="str" cm="1">
        <f t="array" ref="P135">IFERROR(INDEX(TablaDocumentos[Documento],ROWS(P$4:P135)),"")</f>
        <v/>
      </c>
      <c r="U135" t="str">
        <f>IFERROR(IF(INDEX(TablaClientes[ID Cliente],133)="","",INDEX(TablaClientes[ID Cliente],133)&amp;" · "&amp;INDEX(TablaClientes[Nombre Cliente],133)),"")</f>
        <v/>
      </c>
    </row>
    <row r="136" spans="16:21">
      <c r="P136" s="44" t="str" cm="1">
        <f t="array" ref="P136">IFERROR(INDEX(TablaDocumentos[Documento],ROWS(P$4:P136)),"")</f>
        <v/>
      </c>
      <c r="U136" t="str">
        <f>IFERROR(IF(INDEX(TablaClientes[ID Cliente],134)="","",INDEX(TablaClientes[ID Cliente],134)&amp;" · "&amp;INDEX(TablaClientes[Nombre Cliente],134)),"")</f>
        <v/>
      </c>
    </row>
    <row r="137" spans="16:21">
      <c r="P137" s="44" t="str" cm="1">
        <f t="array" ref="P137">IFERROR(INDEX(TablaDocumentos[Documento],ROWS(P$4:P137)),"")</f>
        <v/>
      </c>
      <c r="U137" t="str">
        <f>IFERROR(IF(INDEX(TablaClientes[ID Cliente],135)="","",INDEX(TablaClientes[ID Cliente],135)&amp;" · "&amp;INDEX(TablaClientes[Nombre Cliente],135)),"")</f>
        <v/>
      </c>
    </row>
    <row r="138" spans="16:21">
      <c r="P138" s="44" t="str" cm="1">
        <f t="array" ref="P138">IFERROR(INDEX(TablaDocumentos[Documento],ROWS(P$4:P138)),"")</f>
        <v/>
      </c>
      <c r="U138" t="str">
        <f>IFERROR(IF(INDEX(TablaClientes[ID Cliente],136)="","",INDEX(TablaClientes[ID Cliente],136)&amp;" · "&amp;INDEX(TablaClientes[Nombre Cliente],136)),"")</f>
        <v/>
      </c>
    </row>
    <row r="139" spans="16:21">
      <c r="P139" s="44" t="str" cm="1">
        <f t="array" ref="P139">IFERROR(INDEX(TablaDocumentos[Documento],ROWS(P$4:P139)),"")</f>
        <v/>
      </c>
      <c r="U139" t="str">
        <f>IFERROR(IF(INDEX(TablaClientes[ID Cliente],137)="","",INDEX(TablaClientes[ID Cliente],137)&amp;" · "&amp;INDEX(TablaClientes[Nombre Cliente],137)),"")</f>
        <v/>
      </c>
    </row>
    <row r="140" spans="16:21">
      <c r="P140" s="44" t="str" cm="1">
        <f t="array" ref="P140">IFERROR(INDEX(TablaDocumentos[Documento],ROWS(P$4:P140)),"")</f>
        <v/>
      </c>
      <c r="U140" t="str">
        <f>IFERROR(IF(INDEX(TablaClientes[ID Cliente],138)="","",INDEX(TablaClientes[ID Cliente],138)&amp;" · "&amp;INDEX(TablaClientes[Nombre Cliente],138)),"")</f>
        <v/>
      </c>
    </row>
    <row r="141" spans="16:21">
      <c r="P141" s="44" t="str" cm="1">
        <f t="array" ref="P141">IFERROR(INDEX(TablaDocumentos[Documento],ROWS(P$4:P141)),"")</f>
        <v/>
      </c>
      <c r="U141" t="str">
        <f>IFERROR(IF(INDEX(TablaClientes[ID Cliente],139)="","",INDEX(TablaClientes[ID Cliente],139)&amp;" · "&amp;INDEX(TablaClientes[Nombre Cliente],139)),"")</f>
        <v/>
      </c>
    </row>
    <row r="142" spans="16:21">
      <c r="P142" s="44" t="str" cm="1">
        <f t="array" ref="P142">IFERROR(INDEX(TablaDocumentos[Documento],ROWS(P$4:P142)),"")</f>
        <v/>
      </c>
      <c r="U142" t="str">
        <f>IFERROR(IF(INDEX(TablaClientes[ID Cliente],140)="","",INDEX(TablaClientes[ID Cliente],140)&amp;" · "&amp;INDEX(TablaClientes[Nombre Cliente],140)),"")</f>
        <v/>
      </c>
    </row>
    <row r="143" spans="16:21">
      <c r="P143" s="44" t="str" cm="1">
        <f t="array" ref="P143">IFERROR(INDEX(TablaDocumentos[Documento],ROWS(P$4:P143)),"")</f>
        <v/>
      </c>
      <c r="U143" t="str">
        <f>IFERROR(IF(INDEX(TablaClientes[ID Cliente],141)="","",INDEX(TablaClientes[ID Cliente],141)&amp;" · "&amp;INDEX(TablaClientes[Nombre Cliente],141)),"")</f>
        <v/>
      </c>
    </row>
    <row r="144" spans="16:21">
      <c r="P144" s="44" t="str" cm="1">
        <f t="array" ref="P144">IFERROR(INDEX(TablaDocumentos[Documento],ROWS(P$4:P144)),"")</f>
        <v/>
      </c>
      <c r="U144" t="str">
        <f>IFERROR(IF(INDEX(TablaClientes[ID Cliente],142)="","",INDEX(TablaClientes[ID Cliente],142)&amp;" · "&amp;INDEX(TablaClientes[Nombre Cliente],142)),"")</f>
        <v/>
      </c>
    </row>
    <row r="145" spans="16:21">
      <c r="P145" s="44" t="str" cm="1">
        <f t="array" ref="P145">IFERROR(INDEX(TablaDocumentos[Documento],ROWS(P$4:P145)),"")</f>
        <v/>
      </c>
      <c r="U145" t="str">
        <f>IFERROR(IF(INDEX(TablaClientes[ID Cliente],143)="","",INDEX(TablaClientes[ID Cliente],143)&amp;" · "&amp;INDEX(TablaClientes[Nombre Cliente],143)),"")</f>
        <v/>
      </c>
    </row>
    <row r="146" spans="16:21">
      <c r="P146" s="44" t="str" cm="1">
        <f t="array" ref="P146">IFERROR(INDEX(TablaDocumentos[Documento],ROWS(P$4:P146)),"")</f>
        <v/>
      </c>
      <c r="U146" t="str">
        <f>IFERROR(IF(INDEX(TablaClientes[ID Cliente],144)="","",INDEX(TablaClientes[ID Cliente],144)&amp;" · "&amp;INDEX(TablaClientes[Nombre Cliente],144)),"")</f>
        <v/>
      </c>
    </row>
    <row r="147" spans="16:21">
      <c r="P147" s="44" t="str" cm="1">
        <f t="array" ref="P147">IFERROR(INDEX(TablaDocumentos[Documento],ROWS(P$4:P147)),"")</f>
        <v/>
      </c>
      <c r="U147" t="str">
        <f>IFERROR(IF(INDEX(TablaClientes[ID Cliente],145)="","",INDEX(TablaClientes[ID Cliente],145)&amp;" · "&amp;INDEX(TablaClientes[Nombre Cliente],145)),"")</f>
        <v/>
      </c>
    </row>
    <row r="148" spans="16:21">
      <c r="P148" s="44" t="str" cm="1">
        <f t="array" ref="P148">IFERROR(INDEX(TablaDocumentos[Documento],ROWS(P$4:P148)),"")</f>
        <v/>
      </c>
      <c r="U148" t="str">
        <f>IFERROR(IF(INDEX(TablaClientes[ID Cliente],146)="","",INDEX(TablaClientes[ID Cliente],146)&amp;" · "&amp;INDEX(TablaClientes[Nombre Cliente],146)),"")</f>
        <v/>
      </c>
    </row>
    <row r="149" spans="16:21">
      <c r="P149" s="44" t="str" cm="1">
        <f t="array" ref="P149">IFERROR(INDEX(TablaDocumentos[Documento],ROWS(P$4:P149)),"")</f>
        <v/>
      </c>
      <c r="U149" t="str">
        <f>IFERROR(IF(INDEX(TablaClientes[ID Cliente],147)="","",INDEX(TablaClientes[ID Cliente],147)&amp;" · "&amp;INDEX(TablaClientes[Nombre Cliente],147)),"")</f>
        <v/>
      </c>
    </row>
    <row r="150" spans="16:21">
      <c r="P150" s="44" t="str" cm="1">
        <f t="array" ref="P150">IFERROR(INDEX(TablaDocumentos[Documento],ROWS(P$4:P150)),"")</f>
        <v/>
      </c>
      <c r="U150" t="str">
        <f>IFERROR(IF(INDEX(TablaClientes[ID Cliente],148)="","",INDEX(TablaClientes[ID Cliente],148)&amp;" · "&amp;INDEX(TablaClientes[Nombre Cliente],148)),"")</f>
        <v/>
      </c>
    </row>
    <row r="151" spans="16:21">
      <c r="P151" s="44" t="str" cm="1">
        <f t="array" ref="P151">IFERROR(INDEX(TablaDocumentos[Documento],ROWS(P$4:P151)),"")</f>
        <v/>
      </c>
      <c r="U151" t="str">
        <f>IFERROR(IF(INDEX(TablaClientes[ID Cliente],149)="","",INDEX(TablaClientes[ID Cliente],149)&amp;" · "&amp;INDEX(TablaClientes[Nombre Cliente],149)),"")</f>
        <v/>
      </c>
    </row>
    <row r="152" spans="16:21">
      <c r="P152" s="44" t="str" cm="1">
        <f t="array" ref="P152">IFERROR(INDEX(TablaDocumentos[Documento],ROWS(P$4:P152)),"")</f>
        <v/>
      </c>
      <c r="U152" t="str">
        <f>IFERROR(IF(INDEX(TablaClientes[ID Cliente],150)="","",INDEX(TablaClientes[ID Cliente],150)&amp;" · "&amp;INDEX(TablaClientes[Nombre Cliente],150)),"")</f>
        <v/>
      </c>
    </row>
    <row r="153" spans="16:21">
      <c r="P153" s="44" t="str" cm="1">
        <f t="array" ref="P153">IFERROR(INDEX(TablaDocumentos[Documento],ROWS(P$4:P153)),"")</f>
        <v/>
      </c>
      <c r="U153" t="str">
        <f>IFERROR(IF(INDEX(TablaClientes[ID Cliente],151)="","",INDEX(TablaClientes[ID Cliente],151)&amp;" · "&amp;INDEX(TablaClientes[Nombre Cliente],151)),"")</f>
        <v/>
      </c>
    </row>
    <row r="154" spans="16:21">
      <c r="P154" s="44" t="str" cm="1">
        <f t="array" ref="P154">IFERROR(INDEX(TablaDocumentos[Documento],ROWS(P$4:P154)),"")</f>
        <v/>
      </c>
      <c r="U154" t="str">
        <f>IFERROR(IF(INDEX(TablaClientes[ID Cliente],152)="","",INDEX(TablaClientes[ID Cliente],152)&amp;" · "&amp;INDEX(TablaClientes[Nombre Cliente],152)),"")</f>
        <v/>
      </c>
    </row>
    <row r="155" spans="16:21">
      <c r="P155" s="44" t="str" cm="1">
        <f t="array" ref="P155">IFERROR(INDEX(TablaDocumentos[Documento],ROWS(P$4:P155)),"")</f>
        <v/>
      </c>
      <c r="U155" t="str">
        <f>IFERROR(IF(INDEX(TablaClientes[ID Cliente],153)="","",INDEX(TablaClientes[ID Cliente],153)&amp;" · "&amp;INDEX(TablaClientes[Nombre Cliente],153)),"")</f>
        <v/>
      </c>
    </row>
    <row r="156" spans="16:21">
      <c r="P156" s="44" t="str" cm="1">
        <f t="array" ref="P156">IFERROR(INDEX(TablaDocumentos[Documento],ROWS(P$4:P156)),"")</f>
        <v/>
      </c>
      <c r="U156" t="str">
        <f>IFERROR(IF(INDEX(TablaClientes[ID Cliente],154)="","",INDEX(TablaClientes[ID Cliente],154)&amp;" · "&amp;INDEX(TablaClientes[Nombre Cliente],154)),"")</f>
        <v/>
      </c>
    </row>
    <row r="157" spans="16:21">
      <c r="P157" s="44" t="str" cm="1">
        <f t="array" ref="P157">IFERROR(INDEX(TablaDocumentos[Documento],ROWS(P$4:P157)),"")</f>
        <v/>
      </c>
      <c r="U157" t="str">
        <f>IFERROR(IF(INDEX(TablaClientes[ID Cliente],155)="","",INDEX(TablaClientes[ID Cliente],155)&amp;" · "&amp;INDEX(TablaClientes[Nombre Cliente],155)),"")</f>
        <v/>
      </c>
    </row>
    <row r="158" spans="16:21">
      <c r="P158" s="44" t="str" cm="1">
        <f t="array" ref="P158">IFERROR(INDEX(TablaDocumentos[Documento],ROWS(P$4:P158)),"")</f>
        <v/>
      </c>
      <c r="U158" t="str">
        <f>IFERROR(IF(INDEX(TablaClientes[ID Cliente],156)="","",INDEX(TablaClientes[ID Cliente],156)&amp;" · "&amp;INDEX(TablaClientes[Nombre Cliente],156)),"")</f>
        <v/>
      </c>
    </row>
    <row r="159" spans="16:21">
      <c r="P159" s="44" t="str" cm="1">
        <f t="array" ref="P159">IFERROR(INDEX(TablaDocumentos[Documento],ROWS(P$4:P159)),"")</f>
        <v/>
      </c>
      <c r="U159" t="str">
        <f>IFERROR(IF(INDEX(TablaClientes[ID Cliente],157)="","",INDEX(TablaClientes[ID Cliente],157)&amp;" · "&amp;INDEX(TablaClientes[Nombre Cliente],157)),"")</f>
        <v/>
      </c>
    </row>
    <row r="160" spans="16:21">
      <c r="P160" s="44" t="str" cm="1">
        <f t="array" ref="P160">IFERROR(INDEX(TablaDocumentos[Documento],ROWS(P$4:P160)),"")</f>
        <v/>
      </c>
      <c r="U160" t="str">
        <f>IFERROR(IF(INDEX(TablaClientes[ID Cliente],158)="","",INDEX(TablaClientes[ID Cliente],158)&amp;" · "&amp;INDEX(TablaClientes[Nombre Cliente],158)),"")</f>
        <v/>
      </c>
    </row>
    <row r="161" spans="16:21">
      <c r="P161" s="44" t="str" cm="1">
        <f t="array" ref="P161">IFERROR(INDEX(TablaDocumentos[Documento],ROWS(P$4:P161)),"")</f>
        <v/>
      </c>
      <c r="U161" t="str">
        <f>IFERROR(IF(INDEX(TablaClientes[ID Cliente],159)="","",INDEX(TablaClientes[ID Cliente],159)&amp;" · "&amp;INDEX(TablaClientes[Nombre Cliente],159)),"")</f>
        <v/>
      </c>
    </row>
    <row r="162" spans="16:21">
      <c r="P162" s="44" t="str" cm="1">
        <f t="array" ref="P162">IFERROR(INDEX(TablaDocumentos[Documento],ROWS(P$4:P162)),"")</f>
        <v/>
      </c>
      <c r="U162" t="str">
        <f>IFERROR(IF(INDEX(TablaClientes[ID Cliente],160)="","",INDEX(TablaClientes[ID Cliente],160)&amp;" · "&amp;INDEX(TablaClientes[Nombre Cliente],160)),"")</f>
        <v/>
      </c>
    </row>
    <row r="163" spans="16:21">
      <c r="P163" s="44" t="str" cm="1">
        <f t="array" ref="P163">IFERROR(INDEX(TablaDocumentos[Documento],ROWS(P$4:P163)),"")</f>
        <v/>
      </c>
      <c r="U163" t="str">
        <f>IFERROR(IF(INDEX(TablaClientes[ID Cliente],161)="","",INDEX(TablaClientes[ID Cliente],161)&amp;" · "&amp;INDEX(TablaClientes[Nombre Cliente],161)),"")</f>
        <v/>
      </c>
    </row>
    <row r="164" spans="16:21">
      <c r="P164" s="44" t="str" cm="1">
        <f t="array" ref="P164">IFERROR(INDEX(TablaDocumentos[Documento],ROWS(P$4:P164)),"")</f>
        <v/>
      </c>
      <c r="U164" t="str">
        <f>IFERROR(IF(INDEX(TablaClientes[ID Cliente],162)="","",INDEX(TablaClientes[ID Cliente],162)&amp;" · "&amp;INDEX(TablaClientes[Nombre Cliente],162)),"")</f>
        <v/>
      </c>
    </row>
    <row r="165" spans="16:21">
      <c r="P165" s="44" t="str" cm="1">
        <f t="array" ref="P165">IFERROR(INDEX(TablaDocumentos[Documento],ROWS(P$4:P165)),"")</f>
        <v/>
      </c>
      <c r="U165" t="str">
        <f>IFERROR(IF(INDEX(TablaClientes[ID Cliente],163)="","",INDEX(TablaClientes[ID Cliente],163)&amp;" · "&amp;INDEX(TablaClientes[Nombre Cliente],163)),"")</f>
        <v/>
      </c>
    </row>
    <row r="166" spans="16:21">
      <c r="P166" s="44" t="str" cm="1">
        <f t="array" ref="P166">IFERROR(INDEX(TablaDocumentos[Documento],ROWS(P$4:P166)),"")</f>
        <v/>
      </c>
      <c r="U166" t="str">
        <f>IFERROR(IF(INDEX(TablaClientes[ID Cliente],164)="","",INDEX(TablaClientes[ID Cliente],164)&amp;" · "&amp;INDEX(TablaClientes[Nombre Cliente],164)),"")</f>
        <v/>
      </c>
    </row>
    <row r="167" spans="16:21">
      <c r="P167" s="44" t="str" cm="1">
        <f t="array" ref="P167">IFERROR(INDEX(TablaDocumentos[Documento],ROWS(P$4:P167)),"")</f>
        <v/>
      </c>
      <c r="U167" t="str">
        <f>IFERROR(IF(INDEX(TablaClientes[ID Cliente],165)="","",INDEX(TablaClientes[ID Cliente],165)&amp;" · "&amp;INDEX(TablaClientes[Nombre Cliente],165)),"")</f>
        <v/>
      </c>
    </row>
    <row r="168" spans="16:21">
      <c r="P168" s="44" t="str" cm="1">
        <f t="array" ref="P168">IFERROR(INDEX(TablaDocumentos[Documento],ROWS(P$4:P168)),"")</f>
        <v/>
      </c>
      <c r="U168" t="str">
        <f>IFERROR(IF(INDEX(TablaClientes[ID Cliente],166)="","",INDEX(TablaClientes[ID Cliente],166)&amp;" · "&amp;INDEX(TablaClientes[Nombre Cliente],166)),"")</f>
        <v/>
      </c>
    </row>
    <row r="169" spans="16:21">
      <c r="P169" s="44" t="str" cm="1">
        <f t="array" ref="P169">IFERROR(INDEX(TablaDocumentos[Documento],ROWS(P$4:P169)),"")</f>
        <v/>
      </c>
      <c r="U169" t="str">
        <f>IFERROR(IF(INDEX(TablaClientes[ID Cliente],167)="","",INDEX(TablaClientes[ID Cliente],167)&amp;" · "&amp;INDEX(TablaClientes[Nombre Cliente],167)),"")</f>
        <v/>
      </c>
    </row>
    <row r="170" spans="16:21">
      <c r="P170" s="44" t="str" cm="1">
        <f t="array" ref="P170">IFERROR(INDEX(TablaDocumentos[Documento],ROWS(P$4:P170)),"")</f>
        <v/>
      </c>
      <c r="U170" t="str">
        <f>IFERROR(IF(INDEX(TablaClientes[ID Cliente],168)="","",INDEX(TablaClientes[ID Cliente],168)&amp;" · "&amp;INDEX(TablaClientes[Nombre Cliente],168)),"")</f>
        <v/>
      </c>
    </row>
    <row r="171" spans="16:21">
      <c r="P171" s="44" t="str" cm="1">
        <f t="array" ref="P171">IFERROR(INDEX(TablaDocumentos[Documento],ROWS(P$4:P171)),"")</f>
        <v/>
      </c>
      <c r="U171" t="str">
        <f>IFERROR(IF(INDEX(TablaClientes[ID Cliente],169)="","",INDEX(TablaClientes[ID Cliente],169)&amp;" · "&amp;INDEX(TablaClientes[Nombre Cliente],169)),"")</f>
        <v/>
      </c>
    </row>
    <row r="172" spans="16:21">
      <c r="P172" s="44" t="str" cm="1">
        <f t="array" ref="P172">IFERROR(INDEX(TablaDocumentos[Documento],ROWS(P$4:P172)),"")</f>
        <v/>
      </c>
      <c r="U172" t="str">
        <f>IFERROR(IF(INDEX(TablaClientes[ID Cliente],170)="","",INDEX(TablaClientes[ID Cliente],170)&amp;" · "&amp;INDEX(TablaClientes[Nombre Cliente],170)),"")</f>
        <v/>
      </c>
    </row>
    <row r="173" spans="16:21">
      <c r="P173" s="44" t="str" cm="1">
        <f t="array" ref="P173">IFERROR(INDEX(TablaDocumentos[Documento],ROWS(P$4:P173)),"")</f>
        <v/>
      </c>
      <c r="U173" t="str">
        <f>IFERROR(IF(INDEX(TablaClientes[ID Cliente],171)="","",INDEX(TablaClientes[ID Cliente],171)&amp;" · "&amp;INDEX(TablaClientes[Nombre Cliente],171)),"")</f>
        <v/>
      </c>
    </row>
    <row r="174" spans="16:21">
      <c r="P174" s="44" t="str" cm="1">
        <f t="array" ref="P174">IFERROR(INDEX(TablaDocumentos[Documento],ROWS(P$4:P174)),"")</f>
        <v/>
      </c>
      <c r="U174" t="str">
        <f>IFERROR(IF(INDEX(TablaClientes[ID Cliente],172)="","",INDEX(TablaClientes[ID Cliente],172)&amp;" · "&amp;INDEX(TablaClientes[Nombre Cliente],172)),"")</f>
        <v/>
      </c>
    </row>
    <row r="175" spans="16:21">
      <c r="P175" s="44" t="str" cm="1">
        <f t="array" ref="P175">IFERROR(INDEX(TablaDocumentos[Documento],ROWS(P$4:P175)),"")</f>
        <v/>
      </c>
      <c r="U175" t="str">
        <f>IFERROR(IF(INDEX(TablaClientes[ID Cliente],173)="","",INDEX(TablaClientes[ID Cliente],173)&amp;" · "&amp;INDEX(TablaClientes[Nombre Cliente],173)),"")</f>
        <v/>
      </c>
    </row>
    <row r="176" spans="16:21">
      <c r="P176" s="44" t="str" cm="1">
        <f t="array" ref="P176">IFERROR(INDEX(TablaDocumentos[Documento],ROWS(P$4:P176)),"")</f>
        <v/>
      </c>
      <c r="U176" t="str">
        <f>IFERROR(IF(INDEX(TablaClientes[ID Cliente],174)="","",INDEX(TablaClientes[ID Cliente],174)&amp;" · "&amp;INDEX(TablaClientes[Nombre Cliente],174)),"")</f>
        <v/>
      </c>
    </row>
    <row r="177" spans="16:21">
      <c r="P177" s="44" t="str" cm="1">
        <f t="array" ref="P177">IFERROR(INDEX(TablaDocumentos[Documento],ROWS(P$4:P177)),"")</f>
        <v/>
      </c>
      <c r="U177" t="str">
        <f>IFERROR(IF(INDEX(TablaClientes[ID Cliente],175)="","",INDEX(TablaClientes[ID Cliente],175)&amp;" · "&amp;INDEX(TablaClientes[Nombre Cliente],175)),"")</f>
        <v/>
      </c>
    </row>
    <row r="178" spans="16:21">
      <c r="P178" s="44" t="str" cm="1">
        <f t="array" ref="P178">IFERROR(INDEX(TablaDocumentos[Documento],ROWS(P$4:P178)),"")</f>
        <v/>
      </c>
      <c r="U178" t="str">
        <f>IFERROR(IF(INDEX(TablaClientes[ID Cliente],176)="","",INDEX(TablaClientes[ID Cliente],176)&amp;" · "&amp;INDEX(TablaClientes[Nombre Cliente],176)),"")</f>
        <v/>
      </c>
    </row>
    <row r="179" spans="16:21">
      <c r="P179" s="44" t="str" cm="1">
        <f t="array" ref="P179">IFERROR(INDEX(TablaDocumentos[Documento],ROWS(P$4:P179)),"")</f>
        <v/>
      </c>
      <c r="U179" t="str">
        <f>IFERROR(IF(INDEX(TablaClientes[ID Cliente],177)="","",INDEX(TablaClientes[ID Cliente],177)&amp;" · "&amp;INDEX(TablaClientes[Nombre Cliente],177)),"")</f>
        <v/>
      </c>
    </row>
    <row r="180" spans="16:21">
      <c r="P180" s="44" t="str" cm="1">
        <f t="array" ref="P180">IFERROR(INDEX(TablaDocumentos[Documento],ROWS(P$4:P180)),"")</f>
        <v/>
      </c>
      <c r="U180" t="str">
        <f>IFERROR(IF(INDEX(TablaClientes[ID Cliente],178)="","",INDEX(TablaClientes[ID Cliente],178)&amp;" · "&amp;INDEX(TablaClientes[Nombre Cliente],178)),"")</f>
        <v/>
      </c>
    </row>
    <row r="181" spans="16:21">
      <c r="P181" s="44" t="str" cm="1">
        <f t="array" ref="P181">IFERROR(INDEX(TablaDocumentos[Documento],ROWS(P$4:P181)),"")</f>
        <v/>
      </c>
      <c r="U181" t="str">
        <f>IFERROR(IF(INDEX(TablaClientes[ID Cliente],179)="","",INDEX(TablaClientes[ID Cliente],179)&amp;" · "&amp;INDEX(TablaClientes[Nombre Cliente],179)),"")</f>
        <v/>
      </c>
    </row>
    <row r="182" spans="16:21">
      <c r="P182" s="44" t="str" cm="1">
        <f t="array" ref="P182">IFERROR(INDEX(TablaDocumentos[Documento],ROWS(P$4:P182)),"")</f>
        <v/>
      </c>
      <c r="U182" t="str">
        <f>IFERROR(IF(INDEX(TablaClientes[ID Cliente],180)="","",INDEX(TablaClientes[ID Cliente],180)&amp;" · "&amp;INDEX(TablaClientes[Nombre Cliente],180)),"")</f>
        <v/>
      </c>
    </row>
    <row r="183" spans="16:21">
      <c r="P183" s="44" t="str" cm="1">
        <f t="array" ref="P183">IFERROR(INDEX(TablaDocumentos[Documento],ROWS(P$4:P183)),"")</f>
        <v/>
      </c>
      <c r="U183" t="str">
        <f>IFERROR(IF(INDEX(TablaClientes[ID Cliente],181)="","",INDEX(TablaClientes[ID Cliente],181)&amp;" · "&amp;INDEX(TablaClientes[Nombre Cliente],181)),"")</f>
        <v/>
      </c>
    </row>
    <row r="184" spans="16:21">
      <c r="P184" s="44" t="str" cm="1">
        <f t="array" ref="P184">IFERROR(INDEX(TablaDocumentos[Documento],ROWS(P$4:P184)),"")</f>
        <v/>
      </c>
      <c r="U184" t="str">
        <f>IFERROR(IF(INDEX(TablaClientes[ID Cliente],182)="","",INDEX(TablaClientes[ID Cliente],182)&amp;" · "&amp;INDEX(TablaClientes[Nombre Cliente],182)),"")</f>
        <v/>
      </c>
    </row>
    <row r="185" spans="16:21">
      <c r="P185" s="44" t="str" cm="1">
        <f t="array" ref="P185">IFERROR(INDEX(TablaDocumentos[Documento],ROWS(P$4:P185)),"")</f>
        <v/>
      </c>
      <c r="U185" t="str">
        <f>IFERROR(IF(INDEX(TablaClientes[ID Cliente],183)="","",INDEX(TablaClientes[ID Cliente],183)&amp;" · "&amp;INDEX(TablaClientes[Nombre Cliente],183)),"")</f>
        <v/>
      </c>
    </row>
    <row r="186" spans="16:21">
      <c r="P186" s="44" t="str" cm="1">
        <f t="array" ref="P186">IFERROR(INDEX(TablaDocumentos[Documento],ROWS(P$4:P186)),"")</f>
        <v/>
      </c>
      <c r="U186" t="str">
        <f>IFERROR(IF(INDEX(TablaClientes[ID Cliente],184)="","",INDEX(TablaClientes[ID Cliente],184)&amp;" · "&amp;INDEX(TablaClientes[Nombre Cliente],184)),"")</f>
        <v/>
      </c>
    </row>
    <row r="187" spans="16:21">
      <c r="P187" s="44" t="str" cm="1">
        <f t="array" ref="P187">IFERROR(INDEX(TablaDocumentos[Documento],ROWS(P$4:P187)),"")</f>
        <v/>
      </c>
      <c r="U187" t="str">
        <f>IFERROR(IF(INDEX(TablaClientes[ID Cliente],185)="","",INDEX(TablaClientes[ID Cliente],185)&amp;" · "&amp;INDEX(TablaClientes[Nombre Cliente],185)),"")</f>
        <v/>
      </c>
    </row>
    <row r="188" spans="16:21">
      <c r="P188" s="44" t="str" cm="1">
        <f t="array" ref="P188">IFERROR(INDEX(TablaDocumentos[Documento],ROWS(P$4:P188)),"")</f>
        <v/>
      </c>
      <c r="U188" t="str">
        <f>IFERROR(IF(INDEX(TablaClientes[ID Cliente],186)="","",INDEX(TablaClientes[ID Cliente],186)&amp;" · "&amp;INDEX(TablaClientes[Nombre Cliente],186)),"")</f>
        <v/>
      </c>
    </row>
    <row r="189" spans="16:21">
      <c r="P189" s="44" t="str" cm="1">
        <f t="array" ref="P189">IFERROR(INDEX(TablaDocumentos[Documento],ROWS(P$4:P189)),"")</f>
        <v/>
      </c>
      <c r="U189" t="str">
        <f>IFERROR(IF(INDEX(TablaClientes[ID Cliente],187)="","",INDEX(TablaClientes[ID Cliente],187)&amp;" · "&amp;INDEX(TablaClientes[Nombre Cliente],187)),"")</f>
        <v/>
      </c>
    </row>
    <row r="190" spans="16:21">
      <c r="P190" s="44" t="str" cm="1">
        <f t="array" ref="P190">IFERROR(INDEX(TablaDocumentos[Documento],ROWS(P$4:P190)),"")</f>
        <v/>
      </c>
      <c r="U190" t="str">
        <f>IFERROR(IF(INDEX(TablaClientes[ID Cliente],188)="","",INDEX(TablaClientes[ID Cliente],188)&amp;" · "&amp;INDEX(TablaClientes[Nombre Cliente],188)),"")</f>
        <v/>
      </c>
    </row>
    <row r="191" spans="16:21">
      <c r="P191" s="44" t="str" cm="1">
        <f t="array" ref="P191">IFERROR(INDEX(TablaDocumentos[Documento],ROWS(P$4:P191)),"")</f>
        <v/>
      </c>
      <c r="U191" t="str">
        <f>IFERROR(IF(INDEX(TablaClientes[ID Cliente],189)="","",INDEX(TablaClientes[ID Cliente],189)&amp;" · "&amp;INDEX(TablaClientes[Nombre Cliente],189)),"")</f>
        <v/>
      </c>
    </row>
    <row r="192" spans="16:21">
      <c r="P192" s="44" t="str" cm="1">
        <f t="array" ref="P192">IFERROR(INDEX(TablaDocumentos[Documento],ROWS(P$4:P192)),"")</f>
        <v/>
      </c>
      <c r="U192" t="str">
        <f>IFERROR(IF(INDEX(TablaClientes[ID Cliente],190)="","",INDEX(TablaClientes[ID Cliente],190)&amp;" · "&amp;INDEX(TablaClientes[Nombre Cliente],190)),"")</f>
        <v/>
      </c>
    </row>
    <row r="193" spans="16:21">
      <c r="P193" s="44" t="str" cm="1">
        <f t="array" ref="P193">IFERROR(INDEX(TablaDocumentos[Documento],ROWS(P$4:P193)),"")</f>
        <v/>
      </c>
      <c r="U193" t="str">
        <f>IFERROR(IF(INDEX(TablaClientes[ID Cliente],191)="","",INDEX(TablaClientes[ID Cliente],191)&amp;" · "&amp;INDEX(TablaClientes[Nombre Cliente],191)),"")</f>
        <v/>
      </c>
    </row>
    <row r="194" spans="16:21">
      <c r="P194" s="44" t="str" cm="1">
        <f t="array" ref="P194">IFERROR(INDEX(TablaDocumentos[Documento],ROWS(P$4:P194)),"")</f>
        <v/>
      </c>
      <c r="U194" t="str">
        <f>IFERROR(IF(INDEX(TablaClientes[ID Cliente],192)="","",INDEX(TablaClientes[ID Cliente],192)&amp;" · "&amp;INDEX(TablaClientes[Nombre Cliente],192)),"")</f>
        <v/>
      </c>
    </row>
    <row r="195" spans="16:21">
      <c r="P195" s="44" t="str" cm="1">
        <f t="array" ref="P195">IFERROR(INDEX(TablaDocumentos[Documento],ROWS(P$4:P195)),"")</f>
        <v/>
      </c>
      <c r="U195" t="str">
        <f>IFERROR(IF(INDEX(TablaClientes[ID Cliente],193)="","",INDEX(TablaClientes[ID Cliente],193)&amp;" · "&amp;INDEX(TablaClientes[Nombre Cliente],193)),"")</f>
        <v/>
      </c>
    </row>
    <row r="196" spans="16:21">
      <c r="P196" s="44" t="str" cm="1">
        <f t="array" ref="P196">IFERROR(INDEX(TablaDocumentos[Documento],ROWS(P$4:P196)),"")</f>
        <v/>
      </c>
      <c r="U196" t="str">
        <f>IFERROR(IF(INDEX(TablaClientes[ID Cliente],194)="","",INDEX(TablaClientes[ID Cliente],194)&amp;" · "&amp;INDEX(TablaClientes[Nombre Cliente],194)),"")</f>
        <v/>
      </c>
    </row>
    <row r="197" spans="16:21">
      <c r="P197" s="44" t="str" cm="1">
        <f t="array" ref="P197">IFERROR(INDEX(TablaDocumentos[Documento],ROWS(P$4:P197)),"")</f>
        <v/>
      </c>
      <c r="U197" t="str">
        <f>IFERROR(IF(INDEX(TablaClientes[ID Cliente],195)="","",INDEX(TablaClientes[ID Cliente],195)&amp;" · "&amp;INDEX(TablaClientes[Nombre Cliente],195)),"")</f>
        <v/>
      </c>
    </row>
    <row r="198" spans="16:21">
      <c r="P198" s="44" t="str" cm="1">
        <f t="array" ref="P198">IFERROR(INDEX(TablaDocumentos[Documento],ROWS(P$4:P198)),"")</f>
        <v/>
      </c>
      <c r="U198" t="str">
        <f>IFERROR(IF(INDEX(TablaClientes[ID Cliente],196)="","",INDEX(TablaClientes[ID Cliente],196)&amp;" · "&amp;INDEX(TablaClientes[Nombre Cliente],196)),"")</f>
        <v/>
      </c>
    </row>
    <row r="199" spans="16:21">
      <c r="P199" s="44" t="str" cm="1">
        <f t="array" ref="P199">IFERROR(INDEX(TablaDocumentos[Documento],ROWS(P$4:P199)),"")</f>
        <v/>
      </c>
      <c r="U199" t="str">
        <f>IFERROR(IF(INDEX(TablaClientes[ID Cliente],197)="","",INDEX(TablaClientes[ID Cliente],197)&amp;" · "&amp;INDEX(TablaClientes[Nombre Cliente],197)),"")</f>
        <v/>
      </c>
    </row>
    <row r="200" spans="16:21">
      <c r="P200" s="44" t="str" cm="1">
        <f t="array" ref="P200">IFERROR(INDEX(TablaDocumentos[Documento],ROWS(P$4:P200)),"")</f>
        <v/>
      </c>
      <c r="U200" t="str">
        <f>IFERROR(IF(INDEX(TablaClientes[ID Cliente],198)="","",INDEX(TablaClientes[ID Cliente],198)&amp;" · "&amp;INDEX(TablaClientes[Nombre Cliente],198)),"")</f>
        <v/>
      </c>
    </row>
    <row r="201" spans="16:21">
      <c r="P201" s="44" t="str" cm="1">
        <f t="array" ref="P201">IFERROR(INDEX(TablaDocumentos[Documento],ROWS(P$4:P201)),"")</f>
        <v/>
      </c>
      <c r="U201" t="str">
        <f>IFERROR(IF(INDEX(TablaClientes[ID Cliente],199)="","",INDEX(TablaClientes[ID Cliente],199)&amp;" · "&amp;INDEX(TablaClientes[Nombre Cliente],199)),"")</f>
        <v/>
      </c>
    </row>
    <row r="202" spans="16:21">
      <c r="P202" s="44" t="str" cm="1">
        <f t="array" ref="P202">IFERROR(INDEX(TablaDocumentos[Documento],ROWS(P$4:P202)),"")</f>
        <v/>
      </c>
      <c r="U202" t="str">
        <f>IFERROR(IF(INDEX(TablaClientes[ID Cliente],200)="","",INDEX(TablaClientes[ID Cliente],200)&amp;" · "&amp;INDEX(TablaClientes[Nombre Cliente],200)),"")</f>
        <v/>
      </c>
    </row>
    <row r="203" spans="16:21">
      <c r="P203" s="44" t="str" cm="1">
        <f t="array" ref="P203">IFERROR(INDEX(TablaDocumentos[Documento],ROWS(P$4:P203)),"")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CLIENTES</vt:lpstr>
      <vt:lpstr>DATA</vt:lpstr>
      <vt:lpstr>Dashboard</vt:lpstr>
      <vt:lpstr>Ficha Cliente</vt:lpstr>
      <vt:lpstr>CONFIG</vt:lpstr>
      <vt:lpstr>Tabla 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Matias Miguel</dc:creator>
  <cp:lastModifiedBy>Pasantia STYBA</cp:lastModifiedBy>
  <dcterms:created xsi:type="dcterms:W3CDTF">2026-10-14T14:46:10Z</dcterms:created>
  <dcterms:modified xsi:type="dcterms:W3CDTF">2026-10-22T16:16:51Z</dcterms:modified>
</cp:coreProperties>
</file>